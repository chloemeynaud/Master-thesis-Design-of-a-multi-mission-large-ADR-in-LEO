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anfield-my.sharepoint.com/personal/c_j_meynaud_404_cranfield_ac_uk/Documents/Master thesis/New codes/data/"/>
    </mc:Choice>
  </mc:AlternateContent>
  <xr:revisionPtr revIDLastSave="75" documentId="8_{23347120-D9AC-4DB0-875A-3339C7F9FA74}" xr6:coauthVersionLast="47" xr6:coauthVersionMax="47" xr10:uidLastSave="{6D3DE51D-F8CE-42B2-ACF8-C18C6E66AF86}"/>
  <bookViews>
    <workbookView xWindow="-110" yWindow="-110" windowWidth="19420" windowHeight="10300" xr2:uid="{81909722-7B49-4C23-A8CC-204C067D084B}"/>
  </bookViews>
  <sheets>
    <sheet name="PL SSO" sheetId="1" r:id="rId1"/>
    <sheet name="RB SSO" sheetId="3" r:id="rId2"/>
    <sheet name="1 - SL8 700-900" sheetId="4" r:id="rId3"/>
    <sheet name="2 - SL16 700-900" sheetId="5" r:id="rId4"/>
    <sheet name="SL8 800-1000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7" i="1"/>
  <c r="I6" i="1"/>
  <c r="I4" i="1"/>
  <c r="I3" i="1"/>
</calcChain>
</file>

<file path=xl/sharedStrings.xml><?xml version="1.0" encoding="utf-8"?>
<sst xmlns="http://schemas.openxmlformats.org/spreadsheetml/2006/main" count="1453" uniqueCount="283">
  <si>
    <t>OBJECT_ID</t>
  </si>
  <si>
    <t>OBJECT_NUMBER</t>
  </si>
  <si>
    <t>SATNAME</t>
  </si>
  <si>
    <t>COUNTRY</t>
  </si>
  <si>
    <t>PERIOD</t>
  </si>
  <si>
    <t>INCLINATION</t>
  </si>
  <si>
    <t>APOGEE</t>
  </si>
  <si>
    <t>PERIGEE</t>
  </si>
  <si>
    <t>MEAN_ALTITUDE</t>
  </si>
  <si>
    <t>RCS_SIZE</t>
  </si>
  <si>
    <t>LAUNCH_YEAR</t>
  </si>
  <si>
    <t>LAUNCH_PIECE</t>
  </si>
  <si>
    <t>MASS_KG</t>
  </si>
  <si>
    <t>SHAPE</t>
  </si>
  <si>
    <t>WIDTH_M</t>
  </si>
  <si>
    <t>HEIGHT_M</t>
  </si>
  <si>
    <t>DEPTH_M</t>
  </si>
  <si>
    <t>DIAMETER_M</t>
  </si>
  <si>
    <t>SPAN_M</t>
  </si>
  <si>
    <t>RAAN_DEG</t>
  </si>
  <si>
    <t>TLE_EPOCH</t>
  </si>
  <si>
    <t>2002-009A</t>
  </si>
  <si>
    <t>ENVISAT</t>
  </si>
  <si>
    <t>ESA</t>
  </si>
  <si>
    <t>LARGE</t>
  </si>
  <si>
    <t>A</t>
  </si>
  <si>
    <t>Box + 1 Pan</t>
  </si>
  <si>
    <t>2006-044A</t>
  </si>
  <si>
    <t>METOP-A</t>
  </si>
  <si>
    <t>EUME</t>
  </si>
  <si>
    <t>CIS</t>
  </si>
  <si>
    <t>2002-021A</t>
  </si>
  <si>
    <t>SPOT 5</t>
  </si>
  <si>
    <t>FR</t>
  </si>
  <si>
    <t>Box + 2 Pan</t>
  </si>
  <si>
    <t>MEAN ALTITUDE</t>
  </si>
  <si>
    <t>1967-045B</t>
  </si>
  <si>
    <t>SL-8 R/B</t>
  </si>
  <si>
    <t>B</t>
  </si>
  <si>
    <t>Cyl</t>
  </si>
  <si>
    <t>1970-086B</t>
  </si>
  <si>
    <t>1971-035B</t>
  </si>
  <si>
    <t>1971-114B</t>
  </si>
  <si>
    <t>1972-043B</t>
  </si>
  <si>
    <t>1972-104B</t>
  </si>
  <si>
    <t>1973-098B</t>
  </si>
  <si>
    <t>1974-071B</t>
  </si>
  <si>
    <t>1975-094B</t>
  </si>
  <si>
    <t>1975-112B</t>
  </si>
  <si>
    <t>1976-061B</t>
  </si>
  <si>
    <t>1976-069B</t>
  </si>
  <si>
    <t>1976-098B</t>
  </si>
  <si>
    <t>1977-059B</t>
  </si>
  <si>
    <t>1977-119B</t>
  </si>
  <si>
    <t>1978-019B</t>
  </si>
  <si>
    <t>1978-063B</t>
  </si>
  <si>
    <t>1978-105B</t>
  </si>
  <si>
    <t>1979-060B</t>
  </si>
  <si>
    <t>1979-078B</t>
  </si>
  <si>
    <t>1979-089B</t>
  </si>
  <si>
    <t>1980-056B</t>
  </si>
  <si>
    <t>1981-041B</t>
  </si>
  <si>
    <t>1981-084B</t>
  </si>
  <si>
    <t>1982-001B</t>
  </si>
  <si>
    <t>1982-037B</t>
  </si>
  <si>
    <t>1982-051B</t>
  </si>
  <si>
    <t>1982-109B</t>
  </si>
  <si>
    <t>1983-031B</t>
  </si>
  <si>
    <t>1983-079B</t>
  </si>
  <si>
    <t>1983-103B</t>
  </si>
  <si>
    <t>1984-019B</t>
  </si>
  <si>
    <t>1984-056B</t>
  </si>
  <si>
    <t>1985-006B</t>
  </si>
  <si>
    <t>1985-079B</t>
  </si>
  <si>
    <t>1986-030B</t>
  </si>
  <si>
    <t>1986-052B</t>
  </si>
  <si>
    <t>1986-070B</t>
  </si>
  <si>
    <t>1987-006B</t>
  </si>
  <si>
    <t>1987-049B</t>
  </si>
  <si>
    <t>1987-098B</t>
  </si>
  <si>
    <t>1988-029B</t>
  </si>
  <si>
    <t>1988-053B</t>
  </si>
  <si>
    <t>1989-005B</t>
  </si>
  <si>
    <t>1990-004B</t>
  </si>
  <si>
    <t>1990-111B</t>
  </si>
  <si>
    <t>1991-041B</t>
  </si>
  <si>
    <t>1992-053B</t>
  </si>
  <si>
    <t>1993-036B</t>
  </si>
  <si>
    <t>1994-083B</t>
  </si>
  <si>
    <t>1985-097B</t>
  </si>
  <si>
    <t>SL-16 R/B</t>
  </si>
  <si>
    <t>1987-027B</t>
  </si>
  <si>
    <t>1987-041B</t>
  </si>
  <si>
    <t>1988-039B</t>
  </si>
  <si>
    <t>1988-102B</t>
  </si>
  <si>
    <t>1990-046B</t>
  </si>
  <si>
    <t>1992-076B</t>
  </si>
  <si>
    <t>1992-093B</t>
  </si>
  <si>
    <t>1993-016B</t>
  </si>
  <si>
    <t>1994-023B</t>
  </si>
  <si>
    <t>1995-058B</t>
  </si>
  <si>
    <t>1998-045B</t>
  </si>
  <si>
    <t>2000-006B</t>
  </si>
  <si>
    <t>2004-021B</t>
  </si>
  <si>
    <t>1986-019C</t>
  </si>
  <si>
    <t>ARIANE 1 R/B</t>
  </si>
  <si>
    <t>C</t>
  </si>
  <si>
    <t>1990-005H</t>
  </si>
  <si>
    <t>ARIANE 40 R/B</t>
  </si>
  <si>
    <t>H</t>
  </si>
  <si>
    <t>1993-061H</t>
  </si>
  <si>
    <t>1995-021B</t>
  </si>
  <si>
    <t>ARIANE 40+ R/B</t>
  </si>
  <si>
    <t>1998-017B</t>
  </si>
  <si>
    <t>2004-049H</t>
  </si>
  <si>
    <t>ARIANE 5 R/B</t>
  </si>
  <si>
    <t>Cone + Cyl</t>
  </si>
  <si>
    <t>1972-062B</t>
  </si>
  <si>
    <t>1973-042B</t>
  </si>
  <si>
    <t>1973-065B</t>
  </si>
  <si>
    <t>1973-109B</t>
  </si>
  <si>
    <t>1974-001B</t>
  </si>
  <si>
    <t>1974-048B</t>
  </si>
  <si>
    <t>1974-079B</t>
  </si>
  <si>
    <t>1974-105B</t>
  </si>
  <si>
    <t>1975-028B</t>
  </si>
  <si>
    <t>1975-034B</t>
  </si>
  <si>
    <t>1975-074B</t>
  </si>
  <si>
    <t>1975-103B</t>
  </si>
  <si>
    <t>1976-005B</t>
  </si>
  <si>
    <t>1976-011B</t>
  </si>
  <si>
    <t>1976-051B</t>
  </si>
  <si>
    <t>1976-070B</t>
  </si>
  <si>
    <t>1976-078B</t>
  </si>
  <si>
    <t>1976-108B</t>
  </si>
  <si>
    <t>1976-122B</t>
  </si>
  <si>
    <t>1976-128B</t>
  </si>
  <si>
    <t>1977-004B</t>
  </si>
  <si>
    <t>1977-013B</t>
  </si>
  <si>
    <t>1977-039B</t>
  </si>
  <si>
    <t>1977-062B</t>
  </si>
  <si>
    <t>1977-064B</t>
  </si>
  <si>
    <t>1977-087B</t>
  </si>
  <si>
    <t>1977-107B</t>
  </si>
  <si>
    <t>1977-122B</t>
  </si>
  <si>
    <t>1978-007B</t>
  </si>
  <si>
    <t>1978-022B</t>
  </si>
  <si>
    <t>1978-028B</t>
  </si>
  <si>
    <t>1978-031B</t>
  </si>
  <si>
    <t>1978-034B</t>
  </si>
  <si>
    <t>1978-053B</t>
  </si>
  <si>
    <t>1978-074B</t>
  </si>
  <si>
    <t>1979-003B</t>
  </si>
  <si>
    <t>1979-026B</t>
  </si>
  <si>
    <t>1979-028B</t>
  </si>
  <si>
    <t>1979-030B</t>
  </si>
  <si>
    <t>1979-046B</t>
  </si>
  <si>
    <t>1979-090B</t>
  </si>
  <si>
    <t>1980-003B</t>
  </si>
  <si>
    <t>1980-007B</t>
  </si>
  <si>
    <t>1980-022B</t>
  </si>
  <si>
    <t>1980-039B</t>
  </si>
  <si>
    <t>1980-097B</t>
  </si>
  <si>
    <t>1980-099B</t>
  </si>
  <si>
    <t>1981-013B</t>
  </si>
  <si>
    <t>1981-053B</t>
  </si>
  <si>
    <t>1981-077B</t>
  </si>
  <si>
    <t>1981-087B</t>
  </si>
  <si>
    <t>1981-091B</t>
  </si>
  <si>
    <t>1982-003B</t>
  </si>
  <si>
    <t>1982-012B</t>
  </si>
  <si>
    <t>1982-024B</t>
  </si>
  <si>
    <t>1982-030B</t>
  </si>
  <si>
    <t>1982-066B</t>
  </si>
  <si>
    <t>1982-069B</t>
  </si>
  <si>
    <t>1982-102B</t>
  </si>
  <si>
    <t>1983-001B</t>
  </si>
  <si>
    <t>1983-021B</t>
  </si>
  <si>
    <t>1983-023B</t>
  </si>
  <si>
    <t>1983-042B</t>
  </si>
  <si>
    <t>1983-048B</t>
  </si>
  <si>
    <t>1983-108B</t>
  </si>
  <si>
    <t>1983-120B</t>
  </si>
  <si>
    <t>1984-003B</t>
  </si>
  <si>
    <t>1984-010B</t>
  </si>
  <si>
    <t>1984-043B</t>
  </si>
  <si>
    <t>1984-046B</t>
  </si>
  <si>
    <t>1984-062B</t>
  </si>
  <si>
    <t>1984-067B</t>
  </si>
  <si>
    <t>1984-100B</t>
  </si>
  <si>
    <t>1984-109B</t>
  </si>
  <si>
    <t>1984-118B</t>
  </si>
  <si>
    <t>1985-011B</t>
  </si>
  <si>
    <t>1985-022B</t>
  </si>
  <si>
    <t>1985-041B</t>
  </si>
  <si>
    <t>1985-110B</t>
  </si>
  <si>
    <t>1985-116B</t>
  </si>
  <si>
    <t>1986-005B</t>
  </si>
  <si>
    <t>1986-008B</t>
  </si>
  <si>
    <t>1986-037B</t>
  </si>
  <si>
    <t>1986-047B</t>
  </si>
  <si>
    <t>1986-086B</t>
  </si>
  <si>
    <t>1986-093B</t>
  </si>
  <si>
    <t>1986-100B</t>
  </si>
  <si>
    <t>1987-009B</t>
  </si>
  <si>
    <t>1987-017B</t>
  </si>
  <si>
    <t>1987-054B</t>
  </si>
  <si>
    <t>1987-057B</t>
  </si>
  <si>
    <t>1987-087B</t>
  </si>
  <si>
    <t>1987-106B</t>
  </si>
  <si>
    <t>1988-023B</t>
  </si>
  <si>
    <t>1988-062B</t>
  </si>
  <si>
    <t>1989-017B</t>
  </si>
  <si>
    <t>1989-028B</t>
  </si>
  <si>
    <t>1989-042B</t>
  </si>
  <si>
    <t>1989-050B</t>
  </si>
  <si>
    <t>1989-059B</t>
  </si>
  <si>
    <t>1990-017B</t>
  </si>
  <si>
    <t>1990-023B</t>
  </si>
  <si>
    <t>1990-036B</t>
  </si>
  <si>
    <t>1990-083B</t>
  </si>
  <si>
    <t>1991-006B</t>
  </si>
  <si>
    <t>1991-007B</t>
  </si>
  <si>
    <t>1991-013B</t>
  </si>
  <si>
    <t>1991-019B</t>
  </si>
  <si>
    <t>1991-029B</t>
  </si>
  <si>
    <t>1991-059B</t>
  </si>
  <si>
    <t>1991-081B</t>
  </si>
  <si>
    <t>1992-008B</t>
  </si>
  <si>
    <t>1992-012B</t>
  </si>
  <si>
    <t>1992-020B</t>
  </si>
  <si>
    <t>1992-036B</t>
  </si>
  <si>
    <t>1992-073B</t>
  </si>
  <si>
    <t>1993-001B</t>
  </si>
  <si>
    <t>1993-008B</t>
  </si>
  <si>
    <t>1993-020B</t>
  </si>
  <si>
    <t>1993-070B</t>
  </si>
  <si>
    <t>1994-024B</t>
  </si>
  <si>
    <t>1994-041B</t>
  </si>
  <si>
    <t>1995-002D</t>
  </si>
  <si>
    <t>D</t>
  </si>
  <si>
    <t>1995-012B</t>
  </si>
  <si>
    <t>1995-032B</t>
  </si>
  <si>
    <t>1996-004B</t>
  </si>
  <si>
    <t>1996-052C</t>
  </si>
  <si>
    <t>1996-071B</t>
  </si>
  <si>
    <t>1997-017B</t>
  </si>
  <si>
    <t>1997-052C</t>
  </si>
  <si>
    <t>1998-072C</t>
  </si>
  <si>
    <t>1998-076B</t>
  </si>
  <si>
    <t>1999-045B</t>
  </si>
  <si>
    <t>2001-023B</t>
  </si>
  <si>
    <t>2002-026B</t>
  </si>
  <si>
    <t>2002-046B</t>
  </si>
  <si>
    <t>2003-023B</t>
  </si>
  <si>
    <t>2004-028B</t>
  </si>
  <si>
    <t>2005-002B</t>
  </si>
  <si>
    <t>2007-038B</t>
  </si>
  <si>
    <t>2009-039C</t>
  </si>
  <si>
    <t>2010-017B</t>
  </si>
  <si>
    <t>1993-061A</t>
  </si>
  <si>
    <t>SPOT 3</t>
  </si>
  <si>
    <t>1998-017A</t>
  </si>
  <si>
    <t>SPOT 4</t>
  </si>
  <si>
    <t>1991-050A</t>
  </si>
  <si>
    <t>ERS 1</t>
  </si>
  <si>
    <t>2007-023A</t>
  </si>
  <si>
    <t>SKYMED 1</t>
  </si>
  <si>
    <t>IT</t>
  </si>
  <si>
    <t>2007-059A</t>
  </si>
  <si>
    <t>SKYMED 2</t>
  </si>
  <si>
    <t>2008-054A</t>
  </si>
  <si>
    <t>SKYMED 3</t>
  </si>
  <si>
    <t>2010-060A</t>
  </si>
  <si>
    <t>SKYMED 4</t>
  </si>
  <si>
    <t>1995-059A</t>
  </si>
  <si>
    <t>RADARSAT</t>
  </si>
  <si>
    <t>CA</t>
  </si>
  <si>
    <t>1986-019A</t>
  </si>
  <si>
    <t>SPOT 1</t>
  </si>
  <si>
    <t>Hex Poly + 1 Pan</t>
  </si>
  <si>
    <t>1990-005A</t>
  </si>
  <si>
    <t>SPOT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</si>
</sst>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/>
    <xf numFmtId="0" fontId="2" fillId="0" borderId="0" xfId="0" applyFont="1"/>
    <xf numFmtId="0" fontId="0" fillId="5" borderId="0" xfId="0" applyFill="1" applyAlignment="1">
      <alignment horizontal="center" vertical="center"/>
    </xf>
    <xf numFmtId="0" fontId="0" fillId="5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00E0-7762-4765-A621-A8E54838BC30}">
  <dimension ref="A1:W25"/>
  <sheetViews>
    <sheetView tabSelected="1" zoomScale="78" workbookViewId="0">
      <selection activeCell="C21" sqref="C21"/>
    </sheetView>
  </sheetViews>
  <sheetFormatPr baseColWidth="10" defaultColWidth="8.7265625" defaultRowHeight="14.5" x14ac:dyDescent="0.35"/>
  <cols>
    <col min="1" max="1" width="10.1796875" bestFit="1" customWidth="1"/>
    <col min="2" max="2" width="15.81640625" bestFit="1" customWidth="1"/>
    <col min="3" max="3" width="12.54296875" bestFit="1" customWidth="1"/>
    <col min="6" max="6" width="12.54296875" bestFit="1" customWidth="1"/>
    <col min="14" max="14" width="13.90625" bestFit="1" customWidth="1"/>
    <col min="20" max="20" width="10.453125" bestFit="1" customWidth="1"/>
    <col min="21" max="21" width="11.8164062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8"/>
    </row>
    <row r="2" spans="1:23" s="4" customFormat="1" x14ac:dyDescent="0.35">
      <c r="A2" s="4" t="s">
        <v>27</v>
      </c>
      <c r="B2" s="4">
        <v>29499</v>
      </c>
      <c r="C2" s="4" t="s">
        <v>28</v>
      </c>
      <c r="D2" s="4" t="s">
        <v>29</v>
      </c>
      <c r="E2" s="4">
        <v>97.58</v>
      </c>
      <c r="F2" s="4">
        <v>98.33</v>
      </c>
      <c r="G2" s="4">
        <v>765</v>
      </c>
      <c r="H2" s="4">
        <v>520</v>
      </c>
      <c r="I2" s="4">
        <v>642.5</v>
      </c>
      <c r="J2" s="4" t="s">
        <v>24</v>
      </c>
      <c r="K2" s="4">
        <v>2006</v>
      </c>
      <c r="L2" s="4" t="s">
        <v>25</v>
      </c>
      <c r="M2" s="4">
        <v>4086</v>
      </c>
      <c r="N2" s="4" t="s">
        <v>26</v>
      </c>
      <c r="O2" s="4">
        <v>3.4</v>
      </c>
      <c r="P2" s="4">
        <v>6.3</v>
      </c>
      <c r="Q2" s="4">
        <v>3.4</v>
      </c>
      <c r="S2" s="4">
        <v>17.600000000000001</v>
      </c>
      <c r="T2">
        <v>247.7758</v>
      </c>
      <c r="U2">
        <v>26141.892348189998</v>
      </c>
      <c r="V2"/>
      <c r="W2"/>
    </row>
    <row r="3" spans="1:23" s="4" customFormat="1" x14ac:dyDescent="0.35">
      <c r="A3" s="4" t="s">
        <v>264</v>
      </c>
      <c r="B3" s="4">
        <v>21574</v>
      </c>
      <c r="C3" s="4" t="s">
        <v>265</v>
      </c>
      <c r="D3" s="4" t="s">
        <v>23</v>
      </c>
      <c r="E3" s="4">
        <v>100.04</v>
      </c>
      <c r="F3" s="4">
        <v>98.78</v>
      </c>
      <c r="G3" s="4">
        <v>783</v>
      </c>
      <c r="H3" s="4">
        <v>737</v>
      </c>
      <c r="I3" s="4">
        <f t="shared" ref="I3:I4" si="0">(G3+H3)/2</f>
        <v>760</v>
      </c>
      <c r="J3" s="4" t="s">
        <v>24</v>
      </c>
      <c r="K3" s="4">
        <v>1991</v>
      </c>
      <c r="L3" s="4" t="s">
        <v>25</v>
      </c>
      <c r="M3" s="4">
        <v>2140.73</v>
      </c>
      <c r="N3" s="4" t="s">
        <v>26</v>
      </c>
      <c r="O3" s="4">
        <v>1.9</v>
      </c>
      <c r="P3" s="4">
        <v>5.59</v>
      </c>
      <c r="Q3" s="4">
        <v>1.9</v>
      </c>
      <c r="S3" s="4">
        <v>11.79</v>
      </c>
      <c r="T3">
        <v>265.3331</v>
      </c>
      <c r="U3"/>
      <c r="V3"/>
      <c r="W3"/>
    </row>
    <row r="4" spans="1:23" s="4" customFormat="1" x14ac:dyDescent="0.35">
      <c r="A4" s="4" t="s">
        <v>275</v>
      </c>
      <c r="B4" s="4">
        <v>23710</v>
      </c>
      <c r="C4" s="4" t="s">
        <v>276</v>
      </c>
      <c r="D4" s="4" t="s">
        <v>277</v>
      </c>
      <c r="E4" s="4">
        <v>100.53</v>
      </c>
      <c r="F4" s="4">
        <v>98.55</v>
      </c>
      <c r="G4" s="4">
        <v>785</v>
      </c>
      <c r="H4" s="4">
        <v>783</v>
      </c>
      <c r="I4" s="4">
        <f t="shared" si="0"/>
        <v>784</v>
      </c>
      <c r="J4" s="4" t="s">
        <v>24</v>
      </c>
      <c r="K4" s="4">
        <v>1995</v>
      </c>
      <c r="L4" s="4" t="s">
        <v>25</v>
      </c>
      <c r="M4" s="4">
        <v>2724.48</v>
      </c>
      <c r="N4" s="4" t="s">
        <v>34</v>
      </c>
      <c r="O4" s="4">
        <v>2.8</v>
      </c>
      <c r="P4" s="4">
        <v>4.2</v>
      </c>
      <c r="Q4" s="4">
        <v>4.2</v>
      </c>
      <c r="S4" s="4">
        <v>4.2</v>
      </c>
      <c r="T4">
        <v>250.97380000000001</v>
      </c>
      <c r="U4"/>
      <c r="V4"/>
      <c r="W4"/>
    </row>
    <row r="6" spans="1:23" s="4" customFormat="1" x14ac:dyDescent="0.35">
      <c r="A6" s="4" t="s">
        <v>260</v>
      </c>
      <c r="B6" s="4">
        <v>22823</v>
      </c>
      <c r="C6" s="4" t="s">
        <v>261</v>
      </c>
      <c r="D6" s="4" t="s">
        <v>33</v>
      </c>
      <c r="E6" s="4">
        <v>101.4</v>
      </c>
      <c r="F6" s="4">
        <v>98.86</v>
      </c>
      <c r="G6" s="4">
        <v>837</v>
      </c>
      <c r="H6" s="4">
        <v>813</v>
      </c>
      <c r="I6" s="4">
        <f t="shared" ref="I6" si="1">(G6+H6)/2</f>
        <v>825</v>
      </c>
      <c r="J6" s="4" t="s">
        <v>24</v>
      </c>
      <c r="K6" s="4">
        <v>1993</v>
      </c>
      <c r="L6" s="4" t="s">
        <v>25</v>
      </c>
      <c r="M6" s="4">
        <v>1890.98</v>
      </c>
      <c r="N6" s="4" t="s">
        <v>26</v>
      </c>
      <c r="O6" s="4">
        <v>2</v>
      </c>
      <c r="P6" s="4">
        <v>4.5</v>
      </c>
      <c r="Q6" s="4">
        <v>2</v>
      </c>
      <c r="S6" s="4">
        <v>8.1999999999999993</v>
      </c>
      <c r="T6">
        <v>306.8657</v>
      </c>
      <c r="U6"/>
      <c r="V6"/>
      <c r="W6"/>
    </row>
    <row r="7" spans="1:23" s="4" customFormat="1" x14ac:dyDescent="0.35">
      <c r="A7" s="4" t="s">
        <v>262</v>
      </c>
      <c r="B7" s="4">
        <v>25260</v>
      </c>
      <c r="C7" s="4" t="s">
        <v>263</v>
      </c>
      <c r="D7" s="4" t="s">
        <v>33</v>
      </c>
      <c r="E7" s="4">
        <v>98.9</v>
      </c>
      <c r="F7" s="4">
        <v>98.24</v>
      </c>
      <c r="G7" s="4">
        <v>715</v>
      </c>
      <c r="H7" s="4">
        <v>697</v>
      </c>
      <c r="I7" s="4">
        <f>(G7+H7)/2</f>
        <v>706</v>
      </c>
      <c r="J7" s="4" t="s">
        <v>24</v>
      </c>
      <c r="K7" s="4">
        <v>1998</v>
      </c>
      <c r="L7" s="4" t="s">
        <v>25</v>
      </c>
      <c r="M7" s="4">
        <v>2730.43</v>
      </c>
      <c r="N7" s="4" t="s">
        <v>26</v>
      </c>
      <c r="O7" s="4">
        <v>5.59</v>
      </c>
      <c r="P7" s="4">
        <v>2.5</v>
      </c>
      <c r="Q7" s="4">
        <v>5.59</v>
      </c>
      <c r="S7" s="4">
        <v>7.99</v>
      </c>
      <c r="T7">
        <v>337.67559999999997</v>
      </c>
      <c r="U7"/>
      <c r="V7"/>
      <c r="W7"/>
    </row>
    <row r="8" spans="1:23" s="4" customFormat="1" x14ac:dyDescent="0.35">
      <c r="A8" s="4" t="s">
        <v>31</v>
      </c>
      <c r="B8" s="4">
        <v>27421</v>
      </c>
      <c r="C8" s="4" t="s">
        <v>32</v>
      </c>
      <c r="D8" s="4" t="s">
        <v>33</v>
      </c>
      <c r="E8" s="4">
        <v>98.99</v>
      </c>
      <c r="F8" s="4">
        <v>97.99</v>
      </c>
      <c r="G8" s="4">
        <v>803</v>
      </c>
      <c r="H8" s="4">
        <v>618</v>
      </c>
      <c r="I8" s="4">
        <f>(G8+H8)/2</f>
        <v>710.5</v>
      </c>
      <c r="J8" s="4" t="s">
        <v>24</v>
      </c>
      <c r="K8" s="4">
        <v>2002</v>
      </c>
      <c r="L8" s="4" t="s">
        <v>25</v>
      </c>
      <c r="M8" s="4">
        <v>3000</v>
      </c>
      <c r="N8" s="4" t="s">
        <v>26</v>
      </c>
      <c r="O8" s="4">
        <v>3.1</v>
      </c>
      <c r="P8" s="4">
        <v>5.7</v>
      </c>
      <c r="Q8" s="4">
        <v>3.1</v>
      </c>
      <c r="S8" s="4">
        <v>10</v>
      </c>
      <c r="T8">
        <v>278.20409999999998</v>
      </c>
      <c r="U8"/>
      <c r="V8"/>
      <c r="W8"/>
    </row>
    <row r="10" spans="1:23" s="4" customFormat="1" x14ac:dyDescent="0.35">
      <c r="A10" s="4" t="s">
        <v>266</v>
      </c>
      <c r="B10" s="4">
        <v>31598</v>
      </c>
      <c r="C10" s="4" t="s">
        <v>267</v>
      </c>
      <c r="D10" s="4" t="s">
        <v>268</v>
      </c>
      <c r="E10" s="4">
        <v>96.2</v>
      </c>
      <c r="F10" s="4">
        <v>97.89</v>
      </c>
      <c r="G10" s="4">
        <v>578</v>
      </c>
      <c r="H10" s="4">
        <v>575</v>
      </c>
      <c r="I10" s="4">
        <v>576.5</v>
      </c>
      <c r="J10" s="4" t="s">
        <v>24</v>
      </c>
      <c r="K10" s="4">
        <v>2007</v>
      </c>
      <c r="L10" s="4" t="s">
        <v>25</v>
      </c>
      <c r="M10" s="4">
        <v>1870</v>
      </c>
      <c r="N10" s="4" t="s">
        <v>34</v>
      </c>
      <c r="O10" s="4">
        <v>1.4</v>
      </c>
      <c r="P10" s="4">
        <v>1.4</v>
      </c>
      <c r="Q10" s="4">
        <v>1.4</v>
      </c>
      <c r="S10" s="4">
        <v>12</v>
      </c>
      <c r="T10">
        <v>75.487399999999994</v>
      </c>
      <c r="U10"/>
      <c r="V10"/>
      <c r="W10"/>
    </row>
    <row r="11" spans="1:23" s="4" customFormat="1" x14ac:dyDescent="0.35">
      <c r="A11" s="4" t="s">
        <v>269</v>
      </c>
      <c r="B11" s="4">
        <v>32376</v>
      </c>
      <c r="C11" s="4" t="s">
        <v>270</v>
      </c>
      <c r="D11" s="4" t="s">
        <v>268</v>
      </c>
      <c r="E11" s="4">
        <v>97.16</v>
      </c>
      <c r="F11" s="4">
        <v>97.89</v>
      </c>
      <c r="G11" s="4">
        <v>624</v>
      </c>
      <c r="H11" s="4">
        <v>622</v>
      </c>
      <c r="I11" s="4">
        <v>623</v>
      </c>
      <c r="J11" s="4" t="s">
        <v>24</v>
      </c>
      <c r="K11" s="4">
        <v>2007</v>
      </c>
      <c r="L11" s="4" t="s">
        <v>25</v>
      </c>
      <c r="M11" s="4">
        <v>1900</v>
      </c>
      <c r="N11" s="4" t="s">
        <v>34</v>
      </c>
      <c r="O11" s="4">
        <v>1.4</v>
      </c>
      <c r="P11" s="4">
        <v>1.4</v>
      </c>
      <c r="Q11" s="4">
        <v>1.4</v>
      </c>
      <c r="S11" s="4">
        <v>12</v>
      </c>
      <c r="T11">
        <v>65.491100000000003</v>
      </c>
      <c r="U11"/>
      <c r="V11"/>
      <c r="W11"/>
    </row>
    <row r="12" spans="1:23" s="4" customFormat="1" x14ac:dyDescent="0.35">
      <c r="A12" s="4" t="s">
        <v>271</v>
      </c>
      <c r="B12" s="4">
        <v>33412</v>
      </c>
      <c r="C12" s="4" t="s">
        <v>272</v>
      </c>
      <c r="D12" s="4" t="s">
        <v>268</v>
      </c>
      <c r="E12" s="4">
        <v>95.57</v>
      </c>
      <c r="F12" s="4">
        <v>97.83</v>
      </c>
      <c r="G12" s="4">
        <v>558</v>
      </c>
      <c r="H12" s="4">
        <v>535</v>
      </c>
      <c r="I12" s="4">
        <v>546.5</v>
      </c>
      <c r="J12" s="4" t="s">
        <v>24</v>
      </c>
      <c r="K12" s="4">
        <v>2008</v>
      </c>
      <c r="L12" s="4" t="s">
        <v>25</v>
      </c>
      <c r="M12" s="4">
        <v>1900</v>
      </c>
      <c r="N12" s="4" t="s">
        <v>34</v>
      </c>
      <c r="O12" s="4">
        <v>1.4</v>
      </c>
      <c r="P12" s="4">
        <v>1.4</v>
      </c>
      <c r="Q12" s="4">
        <v>1.4</v>
      </c>
      <c r="S12" s="4">
        <v>12</v>
      </c>
      <c r="T12">
        <v>102.6957</v>
      </c>
      <c r="U12"/>
      <c r="V12"/>
      <c r="W12"/>
    </row>
    <row r="13" spans="1:23" s="4" customFormat="1" x14ac:dyDescent="0.35">
      <c r="A13" s="4" t="s">
        <v>273</v>
      </c>
      <c r="B13" s="4">
        <v>37216</v>
      </c>
      <c r="C13" s="4" t="s">
        <v>274</v>
      </c>
      <c r="D13" s="4" t="s">
        <v>268</v>
      </c>
      <c r="E13" s="4">
        <v>97.16</v>
      </c>
      <c r="F13" s="4">
        <v>97.89</v>
      </c>
      <c r="G13" s="4">
        <v>624</v>
      </c>
      <c r="H13" s="4">
        <v>622</v>
      </c>
      <c r="I13" s="4">
        <v>623</v>
      </c>
      <c r="J13" s="4" t="s">
        <v>24</v>
      </c>
      <c r="K13" s="4">
        <v>2010</v>
      </c>
      <c r="L13" s="4" t="s">
        <v>25</v>
      </c>
      <c r="M13" s="4">
        <v>1900</v>
      </c>
      <c r="N13" s="4" t="s">
        <v>34</v>
      </c>
      <c r="O13" s="4">
        <v>1.4</v>
      </c>
      <c r="P13" s="4">
        <v>1.4</v>
      </c>
      <c r="Q13" s="4">
        <v>1.4</v>
      </c>
      <c r="S13" s="4">
        <v>12</v>
      </c>
      <c r="T13">
        <v>65.505200000000002</v>
      </c>
      <c r="U13"/>
      <c r="V13"/>
      <c r="W13"/>
    </row>
    <row r="15" spans="1:23" s="9" customFormat="1" x14ac:dyDescent="0.35">
      <c r="A15" s="9" t="s">
        <v>21</v>
      </c>
      <c r="B15" s="9">
        <v>27386</v>
      </c>
      <c r="C15" s="9" t="s">
        <v>22</v>
      </c>
      <c r="D15" s="9" t="s">
        <v>23</v>
      </c>
      <c r="E15" s="9">
        <v>100.07</v>
      </c>
      <c r="F15" s="9">
        <v>98.38</v>
      </c>
      <c r="G15" s="9">
        <v>762</v>
      </c>
      <c r="H15" s="9">
        <v>761</v>
      </c>
      <c r="I15" s="9">
        <v>761.5</v>
      </c>
      <c r="J15" s="9" t="s">
        <v>24</v>
      </c>
      <c r="K15" s="9">
        <v>2002</v>
      </c>
      <c r="L15" s="9" t="s">
        <v>25</v>
      </c>
      <c r="M15" s="9">
        <v>8110</v>
      </c>
      <c r="N15" s="9" t="s">
        <v>26</v>
      </c>
      <c r="O15" s="9">
        <v>4.5</v>
      </c>
      <c r="P15" s="9">
        <v>10</v>
      </c>
      <c r="Q15" s="9">
        <v>4.5</v>
      </c>
      <c r="S15" s="9">
        <v>26</v>
      </c>
      <c r="T15" s="10">
        <v>93.795900000000003</v>
      </c>
      <c r="U15" s="10">
        <v>26141.888513580001</v>
      </c>
      <c r="V15" s="10"/>
      <c r="W15" s="10"/>
    </row>
    <row r="17" spans="1:23" s="6" customFormat="1" x14ac:dyDescent="0.35">
      <c r="A17" s="6" t="s">
        <v>278</v>
      </c>
      <c r="B17" s="6">
        <v>16613</v>
      </c>
      <c r="C17" s="6" t="s">
        <v>279</v>
      </c>
      <c r="D17" s="6" t="s">
        <v>33</v>
      </c>
      <c r="E17" s="6">
        <v>97.87</v>
      </c>
      <c r="F17" s="6">
        <v>98.66</v>
      </c>
      <c r="G17" s="6">
        <v>748</v>
      </c>
      <c r="H17" s="6">
        <v>565</v>
      </c>
      <c r="I17" s="6">
        <v>656.5</v>
      </c>
      <c r="J17" s="6" t="s">
        <v>24</v>
      </c>
      <c r="K17" s="6">
        <v>1986</v>
      </c>
      <c r="L17" s="6" t="s">
        <v>25</v>
      </c>
      <c r="M17" s="6">
        <v>1813.68</v>
      </c>
      <c r="N17" s="6" t="s">
        <v>280</v>
      </c>
      <c r="O17" s="6">
        <v>2</v>
      </c>
      <c r="P17" s="6">
        <v>4.5</v>
      </c>
      <c r="Q17" s="6">
        <v>2</v>
      </c>
      <c r="S17" s="6">
        <v>8.1</v>
      </c>
      <c r="T17" s="7">
        <v>180.82069999999999</v>
      </c>
      <c r="U17" s="7"/>
      <c r="V17" s="7"/>
      <c r="W17" s="7"/>
    </row>
    <row r="18" spans="1:23" s="6" customFormat="1" x14ac:dyDescent="0.35">
      <c r="A18" s="6" t="s">
        <v>281</v>
      </c>
      <c r="B18" s="6">
        <v>20436</v>
      </c>
      <c r="C18" s="6" t="s">
        <v>282</v>
      </c>
      <c r="D18" s="6" t="s">
        <v>33</v>
      </c>
      <c r="E18" s="6">
        <v>97.71</v>
      </c>
      <c r="F18" s="6">
        <v>98.71</v>
      </c>
      <c r="G18" s="6">
        <v>739</v>
      </c>
      <c r="H18" s="6">
        <v>559</v>
      </c>
      <c r="I18" s="6">
        <v>649</v>
      </c>
      <c r="J18" s="6" t="s">
        <v>24</v>
      </c>
      <c r="K18" s="6">
        <v>1990</v>
      </c>
      <c r="L18" s="6" t="s">
        <v>25</v>
      </c>
      <c r="M18" s="6">
        <v>1813.68</v>
      </c>
      <c r="N18" s="6" t="s">
        <v>280</v>
      </c>
      <c r="O18" s="6">
        <v>2</v>
      </c>
      <c r="P18" s="6">
        <v>4.5</v>
      </c>
      <c r="Q18" s="6">
        <v>2</v>
      </c>
      <c r="S18" s="6">
        <v>8.1999999999999993</v>
      </c>
      <c r="T18" s="7">
        <v>45.619300000000003</v>
      </c>
      <c r="U18" s="7"/>
      <c r="V18" s="7"/>
      <c r="W18" s="7"/>
    </row>
    <row r="20" spans="1:23" s="11" customFormat="1" x14ac:dyDescent="0.35">
      <c r="T20" s="12"/>
      <c r="U20" s="12"/>
      <c r="V20" s="12"/>
      <c r="W20" s="12"/>
    </row>
    <row r="21" spans="1:23" s="11" customFormat="1" x14ac:dyDescent="0.35">
      <c r="T21" s="12"/>
      <c r="U21" s="12"/>
      <c r="V21" s="12"/>
      <c r="W21" s="12"/>
    </row>
    <row r="22" spans="1:23" s="4" customFormat="1" x14ac:dyDescent="0.35">
      <c r="T22"/>
      <c r="U22"/>
      <c r="V22"/>
      <c r="W22"/>
    </row>
    <row r="23" spans="1:23" s="4" customFormat="1" x14ac:dyDescent="0.35">
      <c r="T23"/>
      <c r="U23"/>
      <c r="V23"/>
      <c r="W23"/>
    </row>
    <row r="24" spans="1:23" s="4" customFormat="1" x14ac:dyDescent="0.35">
      <c r="T24"/>
      <c r="U24"/>
      <c r="V24"/>
      <c r="W24"/>
    </row>
    <row r="25" spans="1:23" s="4" customFormat="1" x14ac:dyDescent="0.35">
      <c r="T25"/>
      <c r="U25"/>
      <c r="V25"/>
      <c r="W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460E-3045-4D31-93D6-66408A496298}">
  <dimension ref="A1:W7"/>
  <sheetViews>
    <sheetView workbookViewId="0">
      <selection activeCell="F11" sqref="F11"/>
    </sheetView>
  </sheetViews>
  <sheetFormatPr baseColWidth="10" defaultColWidth="8.7265625" defaultRowHeight="14.5" x14ac:dyDescent="0.35"/>
  <cols>
    <col min="1" max="1" width="10.1796875" bestFit="1" customWidth="1"/>
    <col min="3" max="3" width="13.7265625" bestFit="1" customWidth="1"/>
    <col min="20" max="20" width="10.453125" bestFit="1" customWidth="1"/>
    <col min="21" max="21" width="11.8164062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</row>
    <row r="2" spans="1:23" s="4" customFormat="1" x14ac:dyDescent="0.35">
      <c r="A2" s="4" t="s">
        <v>104</v>
      </c>
      <c r="B2" s="4">
        <v>16615</v>
      </c>
      <c r="C2" s="4" t="s">
        <v>105</v>
      </c>
      <c r="D2" s="4" t="s">
        <v>33</v>
      </c>
      <c r="E2" s="4">
        <v>100.47</v>
      </c>
      <c r="F2" s="4">
        <v>98.22</v>
      </c>
      <c r="G2" s="4">
        <v>790</v>
      </c>
      <c r="H2" s="4">
        <v>772</v>
      </c>
      <c r="I2" s="4">
        <v>781</v>
      </c>
      <c r="J2" s="4" t="s">
        <v>24</v>
      </c>
      <c r="K2" s="4">
        <v>1986</v>
      </c>
      <c r="L2" s="4" t="s">
        <v>106</v>
      </c>
      <c r="M2" s="5">
        <v>1780</v>
      </c>
      <c r="N2" s="4" t="s">
        <v>39</v>
      </c>
      <c r="P2" s="4">
        <v>8.59</v>
      </c>
      <c r="R2" s="4">
        <v>2.6</v>
      </c>
      <c r="S2" s="4">
        <v>8.59</v>
      </c>
      <c r="T2">
        <v>155.8817</v>
      </c>
      <c r="U2">
        <v>26141.93148752</v>
      </c>
      <c r="V2"/>
      <c r="W2"/>
    </row>
    <row r="3" spans="1:23" s="4" customFormat="1" x14ac:dyDescent="0.35">
      <c r="A3" s="4" t="s">
        <v>107</v>
      </c>
      <c r="B3" s="4">
        <v>20443</v>
      </c>
      <c r="C3" s="4" t="s">
        <v>108</v>
      </c>
      <c r="D3" s="4" t="s">
        <v>33</v>
      </c>
      <c r="E3" s="4">
        <v>100.01</v>
      </c>
      <c r="F3" s="4">
        <v>98.3</v>
      </c>
      <c r="G3" s="4">
        <v>766</v>
      </c>
      <c r="H3" s="4">
        <v>751</v>
      </c>
      <c r="I3" s="4">
        <v>758.5</v>
      </c>
      <c r="J3" s="4" t="s">
        <v>24</v>
      </c>
      <c r="K3" s="4">
        <v>1990</v>
      </c>
      <c r="L3" s="4" t="s">
        <v>109</v>
      </c>
      <c r="M3" s="5">
        <v>1764.12</v>
      </c>
      <c r="N3" s="4" t="s">
        <v>39</v>
      </c>
      <c r="P3" s="4">
        <v>12.1</v>
      </c>
      <c r="R3" s="4">
        <v>2.6</v>
      </c>
      <c r="S3" s="4">
        <v>12.1</v>
      </c>
      <c r="T3">
        <v>200.2131</v>
      </c>
      <c r="U3">
        <v>26141.77798897</v>
      </c>
      <c r="V3"/>
      <c r="W3"/>
    </row>
    <row r="4" spans="1:23" s="4" customFormat="1" x14ac:dyDescent="0.35">
      <c r="A4" s="4" t="s">
        <v>110</v>
      </c>
      <c r="B4" s="4">
        <v>22830</v>
      </c>
      <c r="C4" s="4" t="s">
        <v>108</v>
      </c>
      <c r="D4" s="4" t="s">
        <v>33</v>
      </c>
      <c r="E4" s="4">
        <v>100.5</v>
      </c>
      <c r="F4" s="4">
        <v>98.48</v>
      </c>
      <c r="G4" s="4">
        <v>791</v>
      </c>
      <c r="H4" s="4">
        <v>774</v>
      </c>
      <c r="I4" s="4">
        <v>782.5</v>
      </c>
      <c r="J4" s="4" t="s">
        <v>24</v>
      </c>
      <c r="K4" s="4">
        <v>1993</v>
      </c>
      <c r="L4" s="4" t="s">
        <v>109</v>
      </c>
      <c r="M4" s="5">
        <v>1764.12</v>
      </c>
      <c r="N4" s="4" t="s">
        <v>39</v>
      </c>
      <c r="P4" s="4">
        <v>11.8</v>
      </c>
      <c r="R4" s="4">
        <v>2.6</v>
      </c>
      <c r="S4" s="4">
        <v>11.8</v>
      </c>
      <c r="T4">
        <v>209.21379999999999</v>
      </c>
      <c r="U4">
        <v>26141.810234140001</v>
      </c>
      <c r="V4"/>
      <c r="W4"/>
    </row>
    <row r="5" spans="1:23" s="4" customFormat="1" x14ac:dyDescent="0.35">
      <c r="A5" s="4" t="s">
        <v>111</v>
      </c>
      <c r="B5" s="4">
        <v>23561</v>
      </c>
      <c r="C5" s="4" t="s">
        <v>112</v>
      </c>
      <c r="D5" s="4" t="s">
        <v>33</v>
      </c>
      <c r="E5" s="4">
        <v>100.01</v>
      </c>
      <c r="F5" s="4">
        <v>98.44</v>
      </c>
      <c r="G5" s="4">
        <v>763</v>
      </c>
      <c r="H5" s="4">
        <v>755</v>
      </c>
      <c r="I5" s="4">
        <v>759</v>
      </c>
      <c r="J5" s="4" t="s">
        <v>24</v>
      </c>
      <c r="K5" s="4">
        <v>1995</v>
      </c>
      <c r="L5" s="4" t="s">
        <v>38</v>
      </c>
      <c r="M5" s="5">
        <v>1764.12</v>
      </c>
      <c r="N5" s="4" t="s">
        <v>39</v>
      </c>
      <c r="P5" s="4">
        <v>12.1</v>
      </c>
      <c r="R5" s="4">
        <v>2.6</v>
      </c>
      <c r="S5" s="4">
        <v>12.1</v>
      </c>
      <c r="T5">
        <v>212.25049999999999</v>
      </c>
      <c r="U5">
        <v>26141.795553010001</v>
      </c>
      <c r="V5"/>
      <c r="W5"/>
    </row>
    <row r="6" spans="1:23" s="4" customFormat="1" x14ac:dyDescent="0.35">
      <c r="A6" s="4" t="s">
        <v>113</v>
      </c>
      <c r="B6" s="4">
        <v>25261</v>
      </c>
      <c r="C6" s="4" t="s">
        <v>108</v>
      </c>
      <c r="D6" s="4" t="s">
        <v>33</v>
      </c>
      <c r="E6" s="4">
        <v>100.26</v>
      </c>
      <c r="F6" s="4">
        <v>98.82</v>
      </c>
      <c r="G6" s="4">
        <v>772</v>
      </c>
      <c r="H6" s="4">
        <v>769</v>
      </c>
      <c r="I6" s="4">
        <v>770.5</v>
      </c>
      <c r="J6" s="4" t="s">
        <v>24</v>
      </c>
      <c r="K6" s="4">
        <v>1998</v>
      </c>
      <c r="L6" s="4" t="s">
        <v>38</v>
      </c>
      <c r="M6" s="5">
        <v>1764.12</v>
      </c>
      <c r="N6" s="4" t="s">
        <v>39</v>
      </c>
      <c r="P6" s="4">
        <v>11.04</v>
      </c>
      <c r="R6" s="4">
        <v>2.6</v>
      </c>
      <c r="S6" s="4">
        <v>11.04</v>
      </c>
      <c r="T6">
        <v>172.00970000000001</v>
      </c>
      <c r="U6">
        <v>26141.683702480001</v>
      </c>
      <c r="V6"/>
      <c r="W6"/>
    </row>
    <row r="7" spans="1:23" s="4" customFormat="1" x14ac:dyDescent="0.35">
      <c r="A7" s="4" t="s">
        <v>114</v>
      </c>
      <c r="B7" s="4">
        <v>28499</v>
      </c>
      <c r="C7" s="4" t="s">
        <v>115</v>
      </c>
      <c r="D7" s="4" t="s">
        <v>33</v>
      </c>
      <c r="E7" s="4">
        <v>96.94</v>
      </c>
      <c r="F7" s="4">
        <v>98.27</v>
      </c>
      <c r="G7" s="4">
        <v>671</v>
      </c>
      <c r="H7" s="4">
        <v>553</v>
      </c>
      <c r="I7" s="4">
        <v>612</v>
      </c>
      <c r="J7" s="4" t="s">
        <v>24</v>
      </c>
      <c r="K7" s="4">
        <v>2004</v>
      </c>
      <c r="L7" s="4" t="s">
        <v>109</v>
      </c>
      <c r="M7" s="5">
        <v>2900</v>
      </c>
      <c r="N7" s="4" t="s">
        <v>116</v>
      </c>
      <c r="P7" s="4">
        <v>4</v>
      </c>
      <c r="R7" s="4">
        <v>5.46</v>
      </c>
      <c r="S7" s="4">
        <v>5.46</v>
      </c>
      <c r="T7">
        <v>313.16910000000001</v>
      </c>
      <c r="U7">
        <v>26141.926696710001</v>
      </c>
      <c r="V7"/>
      <c r="W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E8356-7189-4F73-ADA1-765C3A3E1689}">
  <dimension ref="A1:W51"/>
  <sheetViews>
    <sheetView topLeftCell="A40" workbookViewId="0">
      <selection activeCell="W27" sqref="W27"/>
    </sheetView>
  </sheetViews>
  <sheetFormatPr baseColWidth="10" defaultColWidth="8.7265625" defaultRowHeight="14.5" x14ac:dyDescent="0.35"/>
  <cols>
    <col min="1" max="1" width="10.1796875" bestFit="1" customWidth="1"/>
    <col min="20" max="20" width="10.453125" bestFit="1" customWidth="1"/>
    <col min="21" max="21" width="11.8164062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</row>
    <row r="2" spans="1:23" s="4" customFormat="1" x14ac:dyDescent="0.35">
      <c r="A2" s="4" t="s">
        <v>36</v>
      </c>
      <c r="B2" s="4">
        <v>2802</v>
      </c>
      <c r="C2" s="4" t="s">
        <v>37</v>
      </c>
      <c r="D2" s="4" t="s">
        <v>30</v>
      </c>
      <c r="E2" s="4">
        <v>99.61</v>
      </c>
      <c r="F2" s="4">
        <v>74.010000000000005</v>
      </c>
      <c r="G2" s="4">
        <v>786</v>
      </c>
      <c r="H2" s="4">
        <v>694</v>
      </c>
      <c r="I2" s="4">
        <v>740</v>
      </c>
      <c r="J2" s="4" t="s">
        <v>24</v>
      </c>
      <c r="K2" s="4">
        <v>1967</v>
      </c>
      <c r="L2" s="4" t="s">
        <v>38</v>
      </c>
      <c r="M2" s="5">
        <v>1434</v>
      </c>
      <c r="N2" s="4" t="s">
        <v>39</v>
      </c>
      <c r="P2" s="4">
        <v>4.2</v>
      </c>
      <c r="R2" s="4">
        <v>2.4</v>
      </c>
      <c r="S2" s="4">
        <v>4.2</v>
      </c>
      <c r="T2">
        <v>211.8186</v>
      </c>
      <c r="U2">
        <v>26141.651390020001</v>
      </c>
      <c r="V2"/>
      <c r="W2"/>
    </row>
    <row r="3" spans="1:23" s="4" customFormat="1" x14ac:dyDescent="0.35">
      <c r="A3" s="4" t="s">
        <v>40</v>
      </c>
      <c r="B3" s="4">
        <v>4589</v>
      </c>
      <c r="C3" s="4" t="s">
        <v>37</v>
      </c>
      <c r="D3" s="4" t="s">
        <v>30</v>
      </c>
      <c r="E3" s="4">
        <v>99.77</v>
      </c>
      <c r="F3" s="4">
        <v>74.06</v>
      </c>
      <c r="G3" s="4">
        <v>762</v>
      </c>
      <c r="H3" s="4">
        <v>733</v>
      </c>
      <c r="I3" s="4">
        <v>747.5</v>
      </c>
      <c r="J3" s="4" t="s">
        <v>24</v>
      </c>
      <c r="K3" s="4">
        <v>1970</v>
      </c>
      <c r="L3" s="4" t="s">
        <v>38</v>
      </c>
      <c r="M3" s="5">
        <v>1434</v>
      </c>
      <c r="N3" s="4" t="s">
        <v>39</v>
      </c>
      <c r="P3" s="4">
        <v>4.2</v>
      </c>
      <c r="R3" s="4">
        <v>2.4</v>
      </c>
      <c r="S3" s="4">
        <v>4.2</v>
      </c>
      <c r="T3">
        <v>42.5974</v>
      </c>
      <c r="U3">
        <v>26141.855375520001</v>
      </c>
      <c r="V3"/>
      <c r="W3"/>
    </row>
    <row r="4" spans="1:23" s="4" customFormat="1" x14ac:dyDescent="0.35">
      <c r="A4" s="4" t="s">
        <v>41</v>
      </c>
      <c r="B4" s="4">
        <v>5175</v>
      </c>
      <c r="C4" s="4" t="s">
        <v>37</v>
      </c>
      <c r="D4" s="4" t="s">
        <v>30</v>
      </c>
      <c r="E4" s="4">
        <v>100.03</v>
      </c>
      <c r="F4" s="4">
        <v>74.05</v>
      </c>
      <c r="G4" s="4">
        <v>781</v>
      </c>
      <c r="H4" s="4">
        <v>740</v>
      </c>
      <c r="I4" s="4">
        <v>760.5</v>
      </c>
      <c r="J4" s="4" t="s">
        <v>24</v>
      </c>
      <c r="K4" s="4">
        <v>1971</v>
      </c>
      <c r="L4" s="4" t="s">
        <v>38</v>
      </c>
      <c r="M4" s="5">
        <v>1434</v>
      </c>
      <c r="N4" s="4" t="s">
        <v>39</v>
      </c>
      <c r="P4" s="4">
        <v>4.2</v>
      </c>
      <c r="R4" s="4">
        <v>2.4</v>
      </c>
      <c r="S4" s="4">
        <v>4.2</v>
      </c>
      <c r="T4">
        <v>324.9504</v>
      </c>
      <c r="U4">
        <v>26141.919206279999</v>
      </c>
      <c r="V4"/>
      <c r="W4"/>
    </row>
    <row r="5" spans="1:23" s="4" customFormat="1" x14ac:dyDescent="0.35">
      <c r="A5" s="4" t="s">
        <v>42</v>
      </c>
      <c r="B5" s="4">
        <v>5707</v>
      </c>
      <c r="C5" s="4" t="s">
        <v>37</v>
      </c>
      <c r="D5" s="4" t="s">
        <v>30</v>
      </c>
      <c r="E5" s="4">
        <v>99.97</v>
      </c>
      <c r="F5" s="4">
        <v>74.03</v>
      </c>
      <c r="G5" s="4">
        <v>774</v>
      </c>
      <c r="H5" s="4">
        <v>739</v>
      </c>
      <c r="I5" s="4">
        <v>756.5</v>
      </c>
      <c r="J5" s="4" t="s">
        <v>24</v>
      </c>
      <c r="K5" s="4">
        <v>1971</v>
      </c>
      <c r="L5" s="4" t="s">
        <v>38</v>
      </c>
      <c r="M5" s="5">
        <v>1434</v>
      </c>
      <c r="N5" s="4" t="s">
        <v>39</v>
      </c>
      <c r="P5" s="4">
        <v>4.2</v>
      </c>
      <c r="R5" s="4">
        <v>2.4</v>
      </c>
      <c r="S5" s="4">
        <v>4.2</v>
      </c>
      <c r="T5">
        <v>186.00839999999999</v>
      </c>
      <c r="U5">
        <v>26141.624183839998</v>
      </c>
      <c r="V5"/>
      <c r="W5"/>
    </row>
    <row r="6" spans="1:23" s="4" customFormat="1" x14ac:dyDescent="0.35">
      <c r="A6" s="4" t="s">
        <v>43</v>
      </c>
      <c r="B6" s="4">
        <v>6061</v>
      </c>
      <c r="C6" s="4" t="s">
        <v>37</v>
      </c>
      <c r="D6" s="4" t="s">
        <v>30</v>
      </c>
      <c r="E6" s="4">
        <v>99.85</v>
      </c>
      <c r="F6" s="4">
        <v>74.05</v>
      </c>
      <c r="G6" s="4">
        <v>765</v>
      </c>
      <c r="H6" s="4">
        <v>737</v>
      </c>
      <c r="I6" s="4">
        <v>751</v>
      </c>
      <c r="J6" s="4" t="s">
        <v>24</v>
      </c>
      <c r="K6" s="4">
        <v>1972</v>
      </c>
      <c r="L6" s="4" t="s">
        <v>38</v>
      </c>
      <c r="M6" s="5">
        <v>1434</v>
      </c>
      <c r="N6" s="4" t="s">
        <v>39</v>
      </c>
      <c r="P6" s="4">
        <v>4.2</v>
      </c>
      <c r="R6" s="4">
        <v>2.4</v>
      </c>
      <c r="S6" s="4">
        <v>4.2</v>
      </c>
      <c r="T6">
        <v>273.73239999999998</v>
      </c>
      <c r="U6">
        <v>26141.78127933</v>
      </c>
      <c r="V6"/>
      <c r="W6"/>
    </row>
    <row r="7" spans="1:23" s="4" customFormat="1" x14ac:dyDescent="0.35">
      <c r="A7" s="4" t="s">
        <v>44</v>
      </c>
      <c r="B7" s="4">
        <v>6324</v>
      </c>
      <c r="C7" s="4" t="s">
        <v>37</v>
      </c>
      <c r="D7" s="4" t="s">
        <v>30</v>
      </c>
      <c r="E7" s="4">
        <v>99.63</v>
      </c>
      <c r="F7" s="4">
        <v>74.08</v>
      </c>
      <c r="G7" s="4">
        <v>748</v>
      </c>
      <c r="H7" s="4">
        <v>734</v>
      </c>
      <c r="I7" s="4">
        <v>741</v>
      </c>
      <c r="J7" s="4" t="s">
        <v>24</v>
      </c>
      <c r="K7" s="4">
        <v>1972</v>
      </c>
      <c r="L7" s="4" t="s">
        <v>38</v>
      </c>
      <c r="M7" s="5">
        <v>1434</v>
      </c>
      <c r="N7" s="4" t="s">
        <v>39</v>
      </c>
      <c r="P7" s="4">
        <v>4.2</v>
      </c>
      <c r="R7" s="4">
        <v>2.4</v>
      </c>
      <c r="S7" s="4">
        <v>4.2</v>
      </c>
      <c r="T7">
        <v>178.71639999999999</v>
      </c>
      <c r="U7">
        <v>26141.590269600001</v>
      </c>
      <c r="V7"/>
      <c r="W7"/>
    </row>
    <row r="8" spans="1:23" s="4" customFormat="1" x14ac:dyDescent="0.35">
      <c r="A8" s="4" t="s">
        <v>45</v>
      </c>
      <c r="B8" s="4">
        <v>6966</v>
      </c>
      <c r="C8" s="4" t="s">
        <v>37</v>
      </c>
      <c r="D8" s="4" t="s">
        <v>30</v>
      </c>
      <c r="E8" s="4">
        <v>99.66</v>
      </c>
      <c r="F8" s="4">
        <v>74.05</v>
      </c>
      <c r="G8" s="4">
        <v>757</v>
      </c>
      <c r="H8" s="4">
        <v>727</v>
      </c>
      <c r="I8" s="4">
        <v>742</v>
      </c>
      <c r="J8" s="4" t="s">
        <v>24</v>
      </c>
      <c r="K8" s="4">
        <v>1973</v>
      </c>
      <c r="L8" s="4" t="s">
        <v>38</v>
      </c>
      <c r="M8" s="5">
        <v>1434</v>
      </c>
      <c r="N8" s="4" t="s">
        <v>39</v>
      </c>
      <c r="P8" s="4">
        <v>4.2</v>
      </c>
      <c r="R8" s="4">
        <v>2.4</v>
      </c>
      <c r="S8" s="4">
        <v>4.2</v>
      </c>
      <c r="T8">
        <v>290.27550000000002</v>
      </c>
      <c r="U8">
        <v>26141.838431889999</v>
      </c>
      <c r="V8"/>
      <c r="W8"/>
    </row>
    <row r="9" spans="1:23" s="4" customFormat="1" x14ac:dyDescent="0.35">
      <c r="A9" s="4" t="s">
        <v>46</v>
      </c>
      <c r="B9" s="4">
        <v>7434</v>
      </c>
      <c r="C9" s="4" t="s">
        <v>37</v>
      </c>
      <c r="D9" s="4" t="s">
        <v>30</v>
      </c>
      <c r="E9" s="4">
        <v>100.12</v>
      </c>
      <c r="F9" s="4">
        <v>74.05</v>
      </c>
      <c r="G9" s="4">
        <v>779</v>
      </c>
      <c r="H9" s="4">
        <v>750</v>
      </c>
      <c r="I9" s="4">
        <v>764.5</v>
      </c>
      <c r="J9" s="4" t="s">
        <v>24</v>
      </c>
      <c r="K9" s="4">
        <v>1974</v>
      </c>
      <c r="L9" s="4" t="s">
        <v>38</v>
      </c>
      <c r="M9" s="5">
        <v>1434</v>
      </c>
      <c r="N9" s="4" t="s">
        <v>39</v>
      </c>
      <c r="P9" s="4">
        <v>4.2</v>
      </c>
      <c r="R9" s="4">
        <v>2.4</v>
      </c>
      <c r="S9" s="4">
        <v>4.2</v>
      </c>
      <c r="T9">
        <v>341.55040000000002</v>
      </c>
      <c r="U9">
        <v>26141.870656350002</v>
      </c>
      <c r="V9"/>
      <c r="W9"/>
    </row>
    <row r="10" spans="1:23" s="4" customFormat="1" x14ac:dyDescent="0.35">
      <c r="A10" s="4" t="s">
        <v>47</v>
      </c>
      <c r="B10" s="4">
        <v>8344</v>
      </c>
      <c r="C10" s="4" t="s">
        <v>37</v>
      </c>
      <c r="D10" s="4" t="s">
        <v>30</v>
      </c>
      <c r="E10" s="4">
        <v>99.96</v>
      </c>
      <c r="F10" s="4">
        <v>74.06</v>
      </c>
      <c r="G10" s="4">
        <v>771</v>
      </c>
      <c r="H10" s="4">
        <v>742</v>
      </c>
      <c r="I10" s="4">
        <v>756.5</v>
      </c>
      <c r="J10" s="4" t="s">
        <v>24</v>
      </c>
      <c r="K10" s="4">
        <v>1975</v>
      </c>
      <c r="L10" s="4" t="s">
        <v>38</v>
      </c>
      <c r="M10" s="5">
        <v>1434</v>
      </c>
      <c r="N10" s="4" t="s">
        <v>39</v>
      </c>
      <c r="P10" s="4">
        <v>4.2</v>
      </c>
      <c r="R10" s="4">
        <v>2.4</v>
      </c>
      <c r="S10" s="4">
        <v>4.2</v>
      </c>
      <c r="T10">
        <v>233.55260000000001</v>
      </c>
      <c r="U10">
        <v>26141.727107170002</v>
      </c>
      <c r="V10"/>
      <c r="W10"/>
    </row>
    <row r="11" spans="1:23" s="4" customFormat="1" x14ac:dyDescent="0.35">
      <c r="A11" s="4" t="s">
        <v>48</v>
      </c>
      <c r="B11" s="4">
        <v>8459</v>
      </c>
      <c r="C11" s="4" t="s">
        <v>37</v>
      </c>
      <c r="D11" s="4" t="s">
        <v>30</v>
      </c>
      <c r="E11" s="4">
        <v>100.12</v>
      </c>
      <c r="F11" s="4">
        <v>74.06</v>
      </c>
      <c r="G11" s="4">
        <v>776</v>
      </c>
      <c r="H11" s="4">
        <v>753</v>
      </c>
      <c r="I11" s="4">
        <v>764.5</v>
      </c>
      <c r="J11" s="4" t="s">
        <v>24</v>
      </c>
      <c r="K11" s="4">
        <v>1975</v>
      </c>
      <c r="L11" s="4" t="s">
        <v>38</v>
      </c>
      <c r="M11" s="5">
        <v>1434</v>
      </c>
      <c r="N11" s="4" t="s">
        <v>39</v>
      </c>
      <c r="P11" s="4">
        <v>4.2</v>
      </c>
      <c r="R11" s="4">
        <v>2.4</v>
      </c>
      <c r="S11" s="4">
        <v>4.2</v>
      </c>
      <c r="T11">
        <v>244.51089999999999</v>
      </c>
      <c r="U11">
        <v>26141.7480335</v>
      </c>
      <c r="V11"/>
      <c r="W11"/>
    </row>
    <row r="12" spans="1:23" s="4" customFormat="1" x14ac:dyDescent="0.35">
      <c r="A12" s="4" t="s">
        <v>49</v>
      </c>
      <c r="B12" s="4">
        <v>8924</v>
      </c>
      <c r="C12" s="4" t="s">
        <v>37</v>
      </c>
      <c r="D12" s="4" t="s">
        <v>30</v>
      </c>
      <c r="E12" s="4">
        <v>100.1</v>
      </c>
      <c r="F12" s="4">
        <v>74.06</v>
      </c>
      <c r="G12" s="4">
        <v>772</v>
      </c>
      <c r="H12" s="4">
        <v>754</v>
      </c>
      <c r="I12" s="4">
        <v>763</v>
      </c>
      <c r="J12" s="4" t="s">
        <v>24</v>
      </c>
      <c r="K12" s="4">
        <v>1976</v>
      </c>
      <c r="L12" s="4" t="s">
        <v>38</v>
      </c>
      <c r="M12" s="5">
        <v>1434</v>
      </c>
      <c r="N12" s="4" t="s">
        <v>39</v>
      </c>
      <c r="P12" s="4">
        <v>4.2</v>
      </c>
      <c r="R12" s="4">
        <v>2.4</v>
      </c>
      <c r="S12" s="4">
        <v>4.2</v>
      </c>
      <c r="T12">
        <v>232.08070000000001</v>
      </c>
      <c r="U12">
        <v>26141.52987242</v>
      </c>
      <c r="V12"/>
      <c r="W12"/>
    </row>
    <row r="13" spans="1:23" s="4" customFormat="1" x14ac:dyDescent="0.35">
      <c r="A13" s="4" t="s">
        <v>50</v>
      </c>
      <c r="B13" s="4">
        <v>9023</v>
      </c>
      <c r="C13" s="4" t="s">
        <v>37</v>
      </c>
      <c r="D13" s="4" t="s">
        <v>30</v>
      </c>
      <c r="E13" s="4">
        <v>99.92</v>
      </c>
      <c r="F13" s="4">
        <v>74.040000000000006</v>
      </c>
      <c r="G13" s="4">
        <v>767</v>
      </c>
      <c r="H13" s="4">
        <v>742</v>
      </c>
      <c r="I13" s="4">
        <v>754.5</v>
      </c>
      <c r="J13" s="4" t="s">
        <v>24</v>
      </c>
      <c r="K13" s="4">
        <v>1976</v>
      </c>
      <c r="L13" s="4" t="s">
        <v>38</v>
      </c>
      <c r="M13" s="5">
        <v>1434</v>
      </c>
      <c r="N13" s="4" t="s">
        <v>39</v>
      </c>
      <c r="P13" s="4">
        <v>4.2</v>
      </c>
      <c r="R13" s="4">
        <v>2.4</v>
      </c>
      <c r="S13" s="4">
        <v>4.2</v>
      </c>
      <c r="T13">
        <v>195.07859999999999</v>
      </c>
      <c r="U13">
        <v>26141.52167124</v>
      </c>
      <c r="V13"/>
      <c r="W13"/>
    </row>
    <row r="14" spans="1:23" s="4" customFormat="1" x14ac:dyDescent="0.35">
      <c r="A14" s="4" t="s">
        <v>51</v>
      </c>
      <c r="B14" s="4">
        <v>9444</v>
      </c>
      <c r="C14" s="4" t="s">
        <v>37</v>
      </c>
      <c r="D14" s="4" t="s">
        <v>30</v>
      </c>
      <c r="E14" s="4">
        <v>100.04</v>
      </c>
      <c r="F14" s="4">
        <v>74.05</v>
      </c>
      <c r="G14" s="4">
        <v>769</v>
      </c>
      <c r="H14" s="4">
        <v>752</v>
      </c>
      <c r="I14" s="4">
        <v>760.5</v>
      </c>
      <c r="J14" s="4" t="s">
        <v>24</v>
      </c>
      <c r="K14" s="4">
        <v>1976</v>
      </c>
      <c r="L14" s="4" t="s">
        <v>38</v>
      </c>
      <c r="M14" s="5">
        <v>1434</v>
      </c>
      <c r="N14" s="4" t="s">
        <v>39</v>
      </c>
      <c r="P14" s="4">
        <v>4.2</v>
      </c>
      <c r="R14" s="4">
        <v>2.4</v>
      </c>
      <c r="S14" s="4">
        <v>4.2</v>
      </c>
      <c r="T14">
        <v>54.939500000000002</v>
      </c>
      <c r="U14">
        <v>26141.887670619999</v>
      </c>
      <c r="V14"/>
      <c r="W14"/>
    </row>
    <row r="15" spans="1:23" s="4" customFormat="1" x14ac:dyDescent="0.35">
      <c r="A15" s="4" t="s">
        <v>52</v>
      </c>
      <c r="B15" s="4">
        <v>10121</v>
      </c>
      <c r="C15" s="4" t="s">
        <v>37</v>
      </c>
      <c r="D15" s="4" t="s">
        <v>30</v>
      </c>
      <c r="E15" s="4">
        <v>100.18</v>
      </c>
      <c r="F15" s="4">
        <v>74.05</v>
      </c>
      <c r="G15" s="4">
        <v>781</v>
      </c>
      <c r="H15" s="4">
        <v>754</v>
      </c>
      <c r="I15" s="4">
        <v>767.5</v>
      </c>
      <c r="J15" s="4" t="s">
        <v>24</v>
      </c>
      <c r="K15" s="4">
        <v>1977</v>
      </c>
      <c r="L15" s="4" t="s">
        <v>38</v>
      </c>
      <c r="M15" s="5">
        <v>1421.21</v>
      </c>
      <c r="N15" s="4" t="s">
        <v>39</v>
      </c>
      <c r="P15" s="4">
        <v>6.57</v>
      </c>
      <c r="R15" s="4">
        <v>2.4</v>
      </c>
      <c r="S15" s="4">
        <v>6.57</v>
      </c>
      <c r="T15">
        <v>267.19409999999999</v>
      </c>
      <c r="U15">
        <v>26141.809758380001</v>
      </c>
      <c r="V15"/>
      <c r="W15"/>
    </row>
    <row r="16" spans="1:23" s="4" customFormat="1" x14ac:dyDescent="0.35">
      <c r="A16" s="4" t="s">
        <v>53</v>
      </c>
      <c r="B16" s="4">
        <v>10521</v>
      </c>
      <c r="C16" s="4" t="s">
        <v>37</v>
      </c>
      <c r="D16" s="4" t="s">
        <v>30</v>
      </c>
      <c r="E16" s="4">
        <v>99.83</v>
      </c>
      <c r="F16" s="4">
        <v>74.03</v>
      </c>
      <c r="G16" s="4">
        <v>765</v>
      </c>
      <c r="H16" s="4">
        <v>736</v>
      </c>
      <c r="I16" s="4">
        <v>750.5</v>
      </c>
      <c r="J16" s="4" t="s">
        <v>24</v>
      </c>
      <c r="K16" s="4">
        <v>1977</v>
      </c>
      <c r="L16" s="4" t="s">
        <v>38</v>
      </c>
      <c r="M16" s="5">
        <v>1421.21</v>
      </c>
      <c r="N16" s="4" t="s">
        <v>39</v>
      </c>
      <c r="P16" s="4">
        <v>6.57</v>
      </c>
      <c r="R16" s="4">
        <v>2.4</v>
      </c>
      <c r="S16" s="4">
        <v>6.57</v>
      </c>
      <c r="T16">
        <v>347.61709999999999</v>
      </c>
      <c r="U16">
        <v>26141.901902500002</v>
      </c>
      <c r="V16"/>
      <c r="W16"/>
    </row>
    <row r="17" spans="1:23" s="4" customFormat="1" x14ac:dyDescent="0.35">
      <c r="A17" s="4" t="s">
        <v>54</v>
      </c>
      <c r="B17" s="4">
        <v>10677</v>
      </c>
      <c r="C17" s="4" t="s">
        <v>37</v>
      </c>
      <c r="D17" s="4" t="s">
        <v>30</v>
      </c>
      <c r="E17" s="4">
        <v>99.88</v>
      </c>
      <c r="F17" s="4">
        <v>74.040000000000006</v>
      </c>
      <c r="G17" s="4">
        <v>763</v>
      </c>
      <c r="H17" s="4">
        <v>743</v>
      </c>
      <c r="I17" s="4">
        <v>753</v>
      </c>
      <c r="J17" s="4" t="s">
        <v>24</v>
      </c>
      <c r="K17" s="4">
        <v>1978</v>
      </c>
      <c r="L17" s="4" t="s">
        <v>38</v>
      </c>
      <c r="M17" s="5">
        <v>1421.21</v>
      </c>
      <c r="N17" s="4" t="s">
        <v>39</v>
      </c>
      <c r="P17" s="4">
        <v>6.57</v>
      </c>
      <c r="R17" s="4">
        <v>2.4</v>
      </c>
      <c r="S17" s="4">
        <v>6.57</v>
      </c>
      <c r="T17">
        <v>32.622799999999998</v>
      </c>
      <c r="U17">
        <v>26141.764715249999</v>
      </c>
      <c r="V17"/>
      <c r="W17"/>
    </row>
    <row r="18" spans="1:23" s="4" customFormat="1" x14ac:dyDescent="0.35">
      <c r="A18" s="4" t="s">
        <v>55</v>
      </c>
      <c r="B18" s="4">
        <v>10962</v>
      </c>
      <c r="C18" s="4" t="s">
        <v>37</v>
      </c>
      <c r="D18" s="4" t="s">
        <v>30</v>
      </c>
      <c r="E18" s="4">
        <v>99.8</v>
      </c>
      <c r="F18" s="4">
        <v>74.08</v>
      </c>
      <c r="G18" s="4">
        <v>766</v>
      </c>
      <c r="H18" s="4">
        <v>732</v>
      </c>
      <c r="I18" s="4">
        <v>749</v>
      </c>
      <c r="J18" s="4" t="s">
        <v>24</v>
      </c>
      <c r="K18" s="4">
        <v>1978</v>
      </c>
      <c r="L18" s="4" t="s">
        <v>38</v>
      </c>
      <c r="M18" s="5">
        <v>1421.21</v>
      </c>
      <c r="N18" s="4" t="s">
        <v>39</v>
      </c>
      <c r="P18" s="4">
        <v>6.57</v>
      </c>
      <c r="R18" s="4">
        <v>2.4</v>
      </c>
      <c r="S18" s="4">
        <v>6.57</v>
      </c>
      <c r="T18">
        <v>314.5641</v>
      </c>
      <c r="U18">
        <v>26141.88147987</v>
      </c>
      <c r="V18"/>
      <c r="W18"/>
    </row>
    <row r="19" spans="1:23" s="4" customFormat="1" x14ac:dyDescent="0.35">
      <c r="A19" s="4" t="s">
        <v>56</v>
      </c>
      <c r="B19" s="4">
        <v>11112</v>
      </c>
      <c r="C19" s="4" t="s">
        <v>37</v>
      </c>
      <c r="D19" s="4" t="s">
        <v>30</v>
      </c>
      <c r="E19" s="4">
        <v>100.08</v>
      </c>
      <c r="F19" s="4">
        <v>74.03</v>
      </c>
      <c r="G19" s="4">
        <v>786</v>
      </c>
      <c r="H19" s="4">
        <v>739</v>
      </c>
      <c r="I19" s="4">
        <v>762.5</v>
      </c>
      <c r="J19" s="4" t="s">
        <v>24</v>
      </c>
      <c r="K19" s="4">
        <v>1978</v>
      </c>
      <c r="L19" s="4" t="s">
        <v>38</v>
      </c>
      <c r="M19" s="5">
        <v>1421.21</v>
      </c>
      <c r="N19" s="4" t="s">
        <v>39</v>
      </c>
      <c r="P19" s="4">
        <v>6.57</v>
      </c>
      <c r="R19" s="4">
        <v>2.4</v>
      </c>
      <c r="S19" s="4">
        <v>6.57</v>
      </c>
      <c r="T19">
        <v>282.83960000000002</v>
      </c>
      <c r="U19">
        <v>26141.808361669999</v>
      </c>
      <c r="V19"/>
      <c r="W19"/>
    </row>
    <row r="20" spans="1:23" s="4" customFormat="1" x14ac:dyDescent="0.35">
      <c r="A20" s="4" t="s">
        <v>57</v>
      </c>
      <c r="B20" s="4">
        <v>11427</v>
      </c>
      <c r="C20" s="4" t="s">
        <v>37</v>
      </c>
      <c r="D20" s="4" t="s">
        <v>30</v>
      </c>
      <c r="E20" s="4">
        <v>100.08</v>
      </c>
      <c r="F20" s="4">
        <v>74.02</v>
      </c>
      <c r="G20" s="4">
        <v>777</v>
      </c>
      <c r="H20" s="4">
        <v>747</v>
      </c>
      <c r="I20" s="4">
        <v>762</v>
      </c>
      <c r="J20" s="4" t="s">
        <v>24</v>
      </c>
      <c r="K20" s="4">
        <v>1979</v>
      </c>
      <c r="L20" s="4" t="s">
        <v>38</v>
      </c>
      <c r="M20" s="5">
        <v>1421.21</v>
      </c>
      <c r="N20" s="4" t="s">
        <v>39</v>
      </c>
      <c r="P20" s="4">
        <v>6.57</v>
      </c>
      <c r="R20" s="4">
        <v>2.4</v>
      </c>
      <c r="S20" s="4">
        <v>6.57</v>
      </c>
      <c r="T20">
        <v>137.97370000000001</v>
      </c>
      <c r="U20">
        <v>26141.415440500001</v>
      </c>
      <c r="V20"/>
      <c r="W20"/>
    </row>
    <row r="21" spans="1:23" s="4" customFormat="1" x14ac:dyDescent="0.35">
      <c r="A21" s="4" t="s">
        <v>58</v>
      </c>
      <c r="B21" s="4">
        <v>11511</v>
      </c>
      <c r="C21" s="4" t="s">
        <v>37</v>
      </c>
      <c r="D21" s="4" t="s">
        <v>30</v>
      </c>
      <c r="E21" s="4">
        <v>100.12</v>
      </c>
      <c r="F21" s="4">
        <v>74.03</v>
      </c>
      <c r="G21" s="4">
        <v>776</v>
      </c>
      <c r="H21" s="4">
        <v>752</v>
      </c>
      <c r="I21" s="4">
        <v>764</v>
      </c>
      <c r="J21" s="4" t="s">
        <v>24</v>
      </c>
      <c r="K21" s="4">
        <v>1979</v>
      </c>
      <c r="L21" s="4" t="s">
        <v>38</v>
      </c>
      <c r="M21" s="5">
        <v>1421.21</v>
      </c>
      <c r="N21" s="4" t="s">
        <v>39</v>
      </c>
      <c r="P21" s="4">
        <v>6.57</v>
      </c>
      <c r="R21" s="4">
        <v>2.4</v>
      </c>
      <c r="S21" s="4">
        <v>6.57</v>
      </c>
      <c r="T21">
        <v>77.647999999999996</v>
      </c>
      <c r="U21">
        <v>26141.922353599999</v>
      </c>
      <c r="V21"/>
      <c r="W21"/>
    </row>
    <row r="22" spans="1:23" s="4" customFormat="1" x14ac:dyDescent="0.35">
      <c r="A22" s="4" t="s">
        <v>59</v>
      </c>
      <c r="B22" s="4">
        <v>11574</v>
      </c>
      <c r="C22" s="4" t="s">
        <v>37</v>
      </c>
      <c r="D22" s="4" t="s">
        <v>30</v>
      </c>
      <c r="E22" s="4">
        <v>99.83</v>
      </c>
      <c r="F22" s="4">
        <v>74.069999999999993</v>
      </c>
      <c r="G22" s="4">
        <v>762</v>
      </c>
      <c r="H22" s="4">
        <v>740</v>
      </c>
      <c r="I22" s="4">
        <v>751</v>
      </c>
      <c r="J22" s="4" t="s">
        <v>24</v>
      </c>
      <c r="K22" s="4">
        <v>1979</v>
      </c>
      <c r="L22" s="4" t="s">
        <v>38</v>
      </c>
      <c r="M22" s="5">
        <v>1421.21</v>
      </c>
      <c r="N22" s="4" t="s">
        <v>39</v>
      </c>
      <c r="P22" s="4">
        <v>6.57</v>
      </c>
      <c r="R22" s="4">
        <v>2.4</v>
      </c>
      <c r="S22" s="4">
        <v>6.57</v>
      </c>
      <c r="T22">
        <v>315.4864</v>
      </c>
      <c r="U22">
        <v>26141.918612000001</v>
      </c>
      <c r="V22"/>
      <c r="W22"/>
    </row>
    <row r="23" spans="1:23" s="4" customFormat="1" x14ac:dyDescent="0.35">
      <c r="A23" s="4" t="s">
        <v>60</v>
      </c>
      <c r="B23" s="4">
        <v>11870</v>
      </c>
      <c r="C23" s="4" t="s">
        <v>37</v>
      </c>
      <c r="D23" s="4" t="s">
        <v>30</v>
      </c>
      <c r="E23" s="4">
        <v>100.11</v>
      </c>
      <c r="F23" s="4">
        <v>74.05</v>
      </c>
      <c r="G23" s="4">
        <v>776</v>
      </c>
      <c r="H23" s="4">
        <v>752</v>
      </c>
      <c r="I23" s="4">
        <v>764</v>
      </c>
      <c r="J23" s="4" t="s">
        <v>24</v>
      </c>
      <c r="K23" s="4">
        <v>1980</v>
      </c>
      <c r="L23" s="4" t="s">
        <v>38</v>
      </c>
      <c r="M23" s="5">
        <v>1421.21</v>
      </c>
      <c r="N23" s="4" t="s">
        <v>39</v>
      </c>
      <c r="P23" s="4">
        <v>6.57</v>
      </c>
      <c r="R23" s="4">
        <v>2.4</v>
      </c>
      <c r="S23" s="4">
        <v>6.57</v>
      </c>
      <c r="T23">
        <v>335.31029999999998</v>
      </c>
      <c r="U23">
        <v>26141.912682120001</v>
      </c>
      <c r="V23"/>
      <c r="W23"/>
    </row>
    <row r="24" spans="1:23" s="4" customFormat="1" x14ac:dyDescent="0.35">
      <c r="A24" s="4" t="s">
        <v>61</v>
      </c>
      <c r="B24" s="4">
        <v>12443</v>
      </c>
      <c r="C24" s="4" t="s">
        <v>37</v>
      </c>
      <c r="D24" s="4" t="s">
        <v>30</v>
      </c>
      <c r="E24" s="4">
        <v>100.27</v>
      </c>
      <c r="F24" s="4">
        <v>74.05</v>
      </c>
      <c r="G24" s="4">
        <v>775</v>
      </c>
      <c r="H24" s="4">
        <v>769</v>
      </c>
      <c r="I24" s="4">
        <v>772</v>
      </c>
      <c r="J24" s="4" t="s">
        <v>24</v>
      </c>
      <c r="K24" s="4">
        <v>1981</v>
      </c>
      <c r="L24" s="4" t="s">
        <v>38</v>
      </c>
      <c r="M24" s="5">
        <v>1421.21</v>
      </c>
      <c r="N24" s="4" t="s">
        <v>39</v>
      </c>
      <c r="P24" s="4">
        <v>6.57</v>
      </c>
      <c r="R24" s="4">
        <v>2.4</v>
      </c>
      <c r="S24" s="4">
        <v>6.57</v>
      </c>
      <c r="T24">
        <v>317.12689999999998</v>
      </c>
      <c r="U24">
        <v>26141.905403919998</v>
      </c>
      <c r="V24"/>
      <c r="W24"/>
    </row>
    <row r="25" spans="1:23" s="4" customFormat="1" x14ac:dyDescent="0.35">
      <c r="A25" s="4" t="s">
        <v>62</v>
      </c>
      <c r="B25" s="4">
        <v>12792</v>
      </c>
      <c r="C25" s="4" t="s">
        <v>37</v>
      </c>
      <c r="D25" s="4" t="s">
        <v>30</v>
      </c>
      <c r="E25" s="4">
        <v>100.07</v>
      </c>
      <c r="F25" s="4">
        <v>74.03</v>
      </c>
      <c r="G25" s="4">
        <v>771</v>
      </c>
      <c r="H25" s="4">
        <v>752</v>
      </c>
      <c r="I25" s="4">
        <v>761.5</v>
      </c>
      <c r="J25" s="4" t="s">
        <v>24</v>
      </c>
      <c r="K25" s="4">
        <v>1981</v>
      </c>
      <c r="L25" s="4" t="s">
        <v>38</v>
      </c>
      <c r="M25" s="5">
        <v>1421.21</v>
      </c>
      <c r="N25" s="4" t="s">
        <v>39</v>
      </c>
      <c r="P25" s="4">
        <v>6.57</v>
      </c>
      <c r="R25" s="4">
        <v>2.4</v>
      </c>
      <c r="S25" s="4">
        <v>6.57</v>
      </c>
      <c r="T25">
        <v>149.38</v>
      </c>
      <c r="U25">
        <v>26141.46651006</v>
      </c>
      <c r="V25"/>
      <c r="W25"/>
    </row>
    <row r="26" spans="1:23" s="4" customFormat="1" x14ac:dyDescent="0.35">
      <c r="A26" s="4" t="s">
        <v>63</v>
      </c>
      <c r="B26" s="4">
        <v>13028</v>
      </c>
      <c r="C26" s="4" t="s">
        <v>37</v>
      </c>
      <c r="D26" s="4" t="s">
        <v>30</v>
      </c>
      <c r="E26" s="4">
        <v>100.01</v>
      </c>
      <c r="F26" s="4">
        <v>74.040000000000006</v>
      </c>
      <c r="G26" s="4">
        <v>772</v>
      </c>
      <c r="H26" s="4">
        <v>745</v>
      </c>
      <c r="I26" s="4">
        <v>758.5</v>
      </c>
      <c r="J26" s="4" t="s">
        <v>24</v>
      </c>
      <c r="K26" s="4">
        <v>1982</v>
      </c>
      <c r="L26" s="4" t="s">
        <v>38</v>
      </c>
      <c r="M26" s="5">
        <v>1421.21</v>
      </c>
      <c r="N26" s="4" t="s">
        <v>39</v>
      </c>
      <c r="P26" s="4">
        <v>6.57</v>
      </c>
      <c r="R26" s="4">
        <v>2.4</v>
      </c>
      <c r="S26" s="4">
        <v>6.57</v>
      </c>
      <c r="T26">
        <v>138.5966</v>
      </c>
      <c r="U26">
        <v>26141.52206494</v>
      </c>
      <c r="V26"/>
      <c r="W26"/>
    </row>
    <row r="27" spans="1:23" s="4" customFormat="1" x14ac:dyDescent="0.35">
      <c r="A27" s="4" t="s">
        <v>64</v>
      </c>
      <c r="B27" s="4">
        <v>13149</v>
      </c>
      <c r="C27" s="4" t="s">
        <v>37</v>
      </c>
      <c r="D27" s="4" t="s">
        <v>30</v>
      </c>
      <c r="E27" s="4">
        <v>100.23</v>
      </c>
      <c r="F27" s="4">
        <v>74.040000000000006</v>
      </c>
      <c r="G27" s="4">
        <v>779</v>
      </c>
      <c r="H27" s="4">
        <v>760</v>
      </c>
      <c r="I27" s="4">
        <v>769.5</v>
      </c>
      <c r="J27" s="4" t="s">
        <v>24</v>
      </c>
      <c r="K27" s="4">
        <v>1982</v>
      </c>
      <c r="L27" s="4" t="s">
        <v>38</v>
      </c>
      <c r="M27" s="5">
        <v>1421.21</v>
      </c>
      <c r="N27" s="4" t="s">
        <v>39</v>
      </c>
      <c r="P27" s="4">
        <v>6.57</v>
      </c>
      <c r="R27" s="4">
        <v>2.4</v>
      </c>
      <c r="S27" s="4">
        <v>6.57</v>
      </c>
      <c r="T27">
        <v>32.814799999999998</v>
      </c>
      <c r="U27">
        <v>26141.883789349999</v>
      </c>
      <c r="V27"/>
      <c r="W27"/>
    </row>
    <row r="28" spans="1:23" s="4" customFormat="1" x14ac:dyDescent="0.35">
      <c r="A28" s="4" t="s">
        <v>65</v>
      </c>
      <c r="B28" s="4">
        <v>13242</v>
      </c>
      <c r="C28" s="4" t="s">
        <v>37</v>
      </c>
      <c r="D28" s="4" t="s">
        <v>30</v>
      </c>
      <c r="E28" s="4">
        <v>100.18</v>
      </c>
      <c r="F28" s="4">
        <v>74.040000000000006</v>
      </c>
      <c r="G28" s="4">
        <v>786</v>
      </c>
      <c r="H28" s="4">
        <v>749</v>
      </c>
      <c r="I28" s="4">
        <v>767.5</v>
      </c>
      <c r="J28" s="4" t="s">
        <v>24</v>
      </c>
      <c r="K28" s="4">
        <v>1982</v>
      </c>
      <c r="L28" s="4" t="s">
        <v>38</v>
      </c>
      <c r="M28" s="5">
        <v>1421.21</v>
      </c>
      <c r="N28" s="4" t="s">
        <v>39</v>
      </c>
      <c r="P28" s="4">
        <v>6.57</v>
      </c>
      <c r="R28" s="4">
        <v>2.4</v>
      </c>
      <c r="S28" s="4">
        <v>6.57</v>
      </c>
      <c r="T28">
        <v>126.634</v>
      </c>
      <c r="U28">
        <v>26141.945467239999</v>
      </c>
      <c r="V28"/>
      <c r="W28"/>
    </row>
    <row r="29" spans="1:23" s="4" customFormat="1" x14ac:dyDescent="0.35">
      <c r="A29" s="4" t="s">
        <v>66</v>
      </c>
      <c r="B29" s="4">
        <v>13649</v>
      </c>
      <c r="C29" s="4" t="s">
        <v>37</v>
      </c>
      <c r="D29" s="4" t="s">
        <v>30</v>
      </c>
      <c r="E29" s="4">
        <v>100.09</v>
      </c>
      <c r="F29" s="4">
        <v>74</v>
      </c>
      <c r="G29" s="4">
        <v>777</v>
      </c>
      <c r="H29" s="4">
        <v>749</v>
      </c>
      <c r="I29" s="4">
        <v>763</v>
      </c>
      <c r="J29" s="4" t="s">
        <v>24</v>
      </c>
      <c r="K29" s="4">
        <v>1982</v>
      </c>
      <c r="L29" s="4" t="s">
        <v>38</v>
      </c>
      <c r="M29" s="5">
        <v>1421.21</v>
      </c>
      <c r="N29" s="4" t="s">
        <v>39</v>
      </c>
      <c r="P29" s="4">
        <v>6.57</v>
      </c>
      <c r="R29" s="4">
        <v>2.4</v>
      </c>
      <c r="S29" s="4">
        <v>6.57</v>
      </c>
      <c r="T29">
        <v>118.1807</v>
      </c>
      <c r="U29">
        <v>26141.94543381</v>
      </c>
      <c r="V29"/>
      <c r="W29"/>
    </row>
    <row r="30" spans="1:23" s="4" customFormat="1" x14ac:dyDescent="0.35">
      <c r="A30" s="4" t="s">
        <v>67</v>
      </c>
      <c r="B30" s="4">
        <v>13992</v>
      </c>
      <c r="C30" s="4" t="s">
        <v>37</v>
      </c>
      <c r="D30" s="4" t="s">
        <v>30</v>
      </c>
      <c r="E30" s="4">
        <v>100.17</v>
      </c>
      <c r="F30" s="4">
        <v>74.05</v>
      </c>
      <c r="G30" s="4">
        <v>769</v>
      </c>
      <c r="H30" s="4">
        <v>764</v>
      </c>
      <c r="I30" s="4">
        <v>766.5</v>
      </c>
      <c r="J30" s="4" t="s">
        <v>24</v>
      </c>
      <c r="K30" s="4">
        <v>1983</v>
      </c>
      <c r="L30" s="4" t="s">
        <v>38</v>
      </c>
      <c r="M30" s="5">
        <v>1421.21</v>
      </c>
      <c r="N30" s="4" t="s">
        <v>39</v>
      </c>
      <c r="P30" s="4">
        <v>6.57</v>
      </c>
      <c r="R30" s="4">
        <v>2.4</v>
      </c>
      <c r="S30" s="4">
        <v>6.57</v>
      </c>
      <c r="T30">
        <v>143.4032</v>
      </c>
      <c r="U30">
        <v>26141.397266309999</v>
      </c>
      <c r="V30"/>
      <c r="W30"/>
    </row>
    <row r="31" spans="1:23" s="4" customFormat="1" x14ac:dyDescent="0.35">
      <c r="A31" s="4" t="s">
        <v>68</v>
      </c>
      <c r="B31" s="4">
        <v>14241</v>
      </c>
      <c r="C31" s="4" t="s">
        <v>37</v>
      </c>
      <c r="D31" s="4" t="s">
        <v>30</v>
      </c>
      <c r="E31" s="4">
        <v>100.17</v>
      </c>
      <c r="F31" s="4">
        <v>74.06</v>
      </c>
      <c r="G31" s="4">
        <v>778</v>
      </c>
      <c r="H31" s="4">
        <v>755</v>
      </c>
      <c r="I31" s="4">
        <v>766.5</v>
      </c>
      <c r="J31" s="4" t="s">
        <v>24</v>
      </c>
      <c r="K31" s="4">
        <v>1983</v>
      </c>
      <c r="L31" s="4" t="s">
        <v>38</v>
      </c>
      <c r="M31" s="5">
        <v>1421.21</v>
      </c>
      <c r="N31" s="4" t="s">
        <v>39</v>
      </c>
      <c r="P31" s="4">
        <v>6.57</v>
      </c>
      <c r="R31" s="4">
        <v>2.4</v>
      </c>
      <c r="S31" s="4">
        <v>6.57</v>
      </c>
      <c r="T31">
        <v>23.1234</v>
      </c>
      <c r="U31">
        <v>26141.807497829999</v>
      </c>
      <c r="V31"/>
      <c r="W31"/>
    </row>
    <row r="32" spans="1:23" s="4" customFormat="1" x14ac:dyDescent="0.35">
      <c r="A32" s="4" t="s">
        <v>69</v>
      </c>
      <c r="B32" s="4">
        <v>14402</v>
      </c>
      <c r="C32" s="4" t="s">
        <v>37</v>
      </c>
      <c r="D32" s="4" t="s">
        <v>30</v>
      </c>
      <c r="E32" s="4">
        <v>100.18</v>
      </c>
      <c r="F32" s="4">
        <v>74.05</v>
      </c>
      <c r="G32" s="4">
        <v>786</v>
      </c>
      <c r="H32" s="4">
        <v>748</v>
      </c>
      <c r="I32" s="4">
        <v>767</v>
      </c>
      <c r="J32" s="4" t="s">
        <v>24</v>
      </c>
      <c r="K32" s="4">
        <v>1983</v>
      </c>
      <c r="L32" s="4" t="s">
        <v>38</v>
      </c>
      <c r="M32" s="5">
        <v>1421.21</v>
      </c>
      <c r="N32" s="4" t="s">
        <v>39</v>
      </c>
      <c r="P32" s="4">
        <v>6.57</v>
      </c>
      <c r="R32" s="4">
        <v>2.4</v>
      </c>
      <c r="S32" s="4">
        <v>6.57</v>
      </c>
      <c r="T32">
        <v>28.044699999999999</v>
      </c>
      <c r="U32">
        <v>26141.870510559998</v>
      </c>
      <c r="V32"/>
      <c r="W32"/>
    </row>
    <row r="33" spans="1:23" s="4" customFormat="1" x14ac:dyDescent="0.35">
      <c r="A33" s="4" t="s">
        <v>70</v>
      </c>
      <c r="B33" s="4">
        <v>14760</v>
      </c>
      <c r="C33" s="4" t="s">
        <v>37</v>
      </c>
      <c r="D33" s="4" t="s">
        <v>30</v>
      </c>
      <c r="E33" s="4">
        <v>100.19</v>
      </c>
      <c r="F33" s="4">
        <v>74.040000000000006</v>
      </c>
      <c r="G33" s="4">
        <v>787</v>
      </c>
      <c r="H33" s="4">
        <v>749</v>
      </c>
      <c r="I33" s="4">
        <v>768</v>
      </c>
      <c r="J33" s="4" t="s">
        <v>24</v>
      </c>
      <c r="K33" s="4">
        <v>1984</v>
      </c>
      <c r="L33" s="4" t="s">
        <v>38</v>
      </c>
      <c r="M33" s="5">
        <v>1421.21</v>
      </c>
      <c r="N33" s="4" t="s">
        <v>39</v>
      </c>
      <c r="P33" s="4">
        <v>6.57</v>
      </c>
      <c r="R33" s="4">
        <v>2.4</v>
      </c>
      <c r="S33" s="4">
        <v>6.57</v>
      </c>
      <c r="T33">
        <v>256.88389999999998</v>
      </c>
      <c r="U33">
        <v>26141.801255189999</v>
      </c>
      <c r="V33"/>
      <c r="W33"/>
    </row>
    <row r="34" spans="1:23" s="4" customFormat="1" x14ac:dyDescent="0.35">
      <c r="A34" s="4" t="s">
        <v>71</v>
      </c>
      <c r="B34" s="4">
        <v>15032</v>
      </c>
      <c r="C34" s="4" t="s">
        <v>37</v>
      </c>
      <c r="D34" s="4" t="s">
        <v>30</v>
      </c>
      <c r="E34" s="4">
        <v>100.27</v>
      </c>
      <c r="F34" s="4">
        <v>74.069999999999993</v>
      </c>
      <c r="G34" s="4">
        <v>784</v>
      </c>
      <c r="H34" s="4">
        <v>759</v>
      </c>
      <c r="I34" s="4">
        <v>771.5</v>
      </c>
      <c r="J34" s="4" t="s">
        <v>24</v>
      </c>
      <c r="K34" s="4">
        <v>1984</v>
      </c>
      <c r="L34" s="4" t="s">
        <v>38</v>
      </c>
      <c r="M34" s="5">
        <v>1421.21</v>
      </c>
      <c r="N34" s="4" t="s">
        <v>39</v>
      </c>
      <c r="P34" s="4">
        <v>6.57</v>
      </c>
      <c r="R34" s="4">
        <v>2.4</v>
      </c>
      <c r="S34" s="4">
        <v>6.57</v>
      </c>
      <c r="T34">
        <v>232.13059999999999</v>
      </c>
      <c r="U34">
        <v>26141.528070150001</v>
      </c>
      <c r="V34"/>
      <c r="W34"/>
    </row>
    <row r="35" spans="1:23" s="4" customFormat="1" x14ac:dyDescent="0.35">
      <c r="A35" s="4" t="s">
        <v>72</v>
      </c>
      <c r="B35" s="4">
        <v>15483</v>
      </c>
      <c r="C35" s="4" t="s">
        <v>37</v>
      </c>
      <c r="D35" s="4" t="s">
        <v>30</v>
      </c>
      <c r="E35" s="4">
        <v>100.15</v>
      </c>
      <c r="F35" s="4">
        <v>74.040000000000006</v>
      </c>
      <c r="G35" s="4">
        <v>778</v>
      </c>
      <c r="H35" s="4">
        <v>753</v>
      </c>
      <c r="I35" s="4">
        <v>765.5</v>
      </c>
      <c r="J35" s="4" t="s">
        <v>24</v>
      </c>
      <c r="K35" s="4">
        <v>1985</v>
      </c>
      <c r="L35" s="4" t="s">
        <v>38</v>
      </c>
      <c r="M35" s="5">
        <v>1421.21</v>
      </c>
      <c r="N35" s="4" t="s">
        <v>39</v>
      </c>
      <c r="P35" s="4">
        <v>6.57</v>
      </c>
      <c r="R35" s="4">
        <v>2.4</v>
      </c>
      <c r="S35" s="4">
        <v>6.57</v>
      </c>
      <c r="T35">
        <v>126.3993</v>
      </c>
      <c r="U35">
        <v>26141.920088750001</v>
      </c>
      <c r="V35"/>
      <c r="W35"/>
    </row>
    <row r="36" spans="1:23" s="4" customFormat="1" x14ac:dyDescent="0.35">
      <c r="A36" s="4" t="s">
        <v>73</v>
      </c>
      <c r="B36" s="4">
        <v>16012</v>
      </c>
      <c r="C36" s="4" t="s">
        <v>37</v>
      </c>
      <c r="D36" s="4" t="s">
        <v>30</v>
      </c>
      <c r="E36" s="4">
        <v>100.15</v>
      </c>
      <c r="F36" s="4">
        <v>74.06</v>
      </c>
      <c r="G36" s="4">
        <v>776</v>
      </c>
      <c r="H36" s="4">
        <v>756</v>
      </c>
      <c r="I36" s="4">
        <v>766</v>
      </c>
      <c r="J36" s="4" t="s">
        <v>24</v>
      </c>
      <c r="K36" s="4">
        <v>1985</v>
      </c>
      <c r="L36" s="4" t="s">
        <v>38</v>
      </c>
      <c r="M36" s="5">
        <v>1421.21</v>
      </c>
      <c r="N36" s="4" t="s">
        <v>39</v>
      </c>
      <c r="P36" s="4">
        <v>6.57</v>
      </c>
      <c r="R36" s="4">
        <v>2.4</v>
      </c>
      <c r="S36" s="4">
        <v>6.57</v>
      </c>
      <c r="T36">
        <v>271.20760000000001</v>
      </c>
      <c r="U36">
        <v>26141.788219599999</v>
      </c>
      <c r="V36"/>
      <c r="W36"/>
    </row>
    <row r="37" spans="1:23" s="4" customFormat="1" x14ac:dyDescent="0.35">
      <c r="A37" s="4" t="s">
        <v>74</v>
      </c>
      <c r="B37" s="4">
        <v>16682</v>
      </c>
      <c r="C37" s="4" t="s">
        <v>37</v>
      </c>
      <c r="D37" s="4" t="s">
        <v>30</v>
      </c>
      <c r="E37" s="4">
        <v>100.19</v>
      </c>
      <c r="F37" s="4">
        <v>74.03</v>
      </c>
      <c r="G37" s="4">
        <v>778</v>
      </c>
      <c r="H37" s="4">
        <v>756</v>
      </c>
      <c r="I37" s="4">
        <v>767</v>
      </c>
      <c r="J37" s="4" t="s">
        <v>24</v>
      </c>
      <c r="K37" s="4">
        <v>1986</v>
      </c>
      <c r="L37" s="4" t="s">
        <v>38</v>
      </c>
      <c r="M37" s="5">
        <v>1421.21</v>
      </c>
      <c r="N37" s="4" t="s">
        <v>39</v>
      </c>
      <c r="P37" s="4">
        <v>6.57</v>
      </c>
      <c r="R37" s="4">
        <v>2.4</v>
      </c>
      <c r="S37" s="4">
        <v>6.57</v>
      </c>
      <c r="T37">
        <v>354.2706</v>
      </c>
      <c r="U37">
        <v>26141.891490890001</v>
      </c>
      <c r="V37"/>
      <c r="W37"/>
    </row>
    <row r="38" spans="1:23" s="4" customFormat="1" x14ac:dyDescent="0.35">
      <c r="A38" s="4" t="s">
        <v>75</v>
      </c>
      <c r="B38" s="4">
        <v>16864</v>
      </c>
      <c r="C38" s="4" t="s">
        <v>37</v>
      </c>
      <c r="D38" s="4" t="s">
        <v>30</v>
      </c>
      <c r="E38" s="4">
        <v>99.84</v>
      </c>
      <c r="F38" s="4">
        <v>74.03</v>
      </c>
      <c r="G38" s="4">
        <v>774</v>
      </c>
      <c r="H38" s="4">
        <v>727</v>
      </c>
      <c r="I38" s="4">
        <v>750.5</v>
      </c>
      <c r="J38" s="4" t="s">
        <v>24</v>
      </c>
      <c r="K38" s="4">
        <v>1986</v>
      </c>
      <c r="L38" s="4" t="s">
        <v>38</v>
      </c>
      <c r="M38" s="5">
        <v>1421.21</v>
      </c>
      <c r="N38" s="4" t="s">
        <v>39</v>
      </c>
      <c r="P38" s="4">
        <v>6.57</v>
      </c>
      <c r="R38" s="4">
        <v>2.4</v>
      </c>
      <c r="S38" s="4">
        <v>6.57</v>
      </c>
      <c r="T38">
        <v>178.0078</v>
      </c>
      <c r="U38">
        <v>26141.216096550001</v>
      </c>
      <c r="V38"/>
      <c r="W38"/>
    </row>
    <row r="39" spans="1:23" s="4" customFormat="1" x14ac:dyDescent="0.35">
      <c r="A39" s="4" t="s">
        <v>76</v>
      </c>
      <c r="B39" s="4">
        <v>16953</v>
      </c>
      <c r="C39" s="4" t="s">
        <v>37</v>
      </c>
      <c r="D39" s="4" t="s">
        <v>30</v>
      </c>
      <c r="E39" s="4">
        <v>100.08</v>
      </c>
      <c r="F39" s="4">
        <v>74.010000000000005</v>
      </c>
      <c r="G39" s="4">
        <v>772</v>
      </c>
      <c r="H39" s="4">
        <v>753</v>
      </c>
      <c r="I39" s="4">
        <v>762.5</v>
      </c>
      <c r="J39" s="4" t="s">
        <v>24</v>
      </c>
      <c r="K39" s="4">
        <v>1986</v>
      </c>
      <c r="L39" s="4" t="s">
        <v>38</v>
      </c>
      <c r="M39" s="5">
        <v>1421.21</v>
      </c>
      <c r="N39" s="4" t="s">
        <v>39</v>
      </c>
      <c r="P39" s="4">
        <v>6.57</v>
      </c>
      <c r="R39" s="4">
        <v>2.4</v>
      </c>
      <c r="S39" s="4">
        <v>6.57</v>
      </c>
      <c r="T39">
        <v>24.694199999999999</v>
      </c>
      <c r="U39">
        <v>26141.85738365</v>
      </c>
      <c r="V39"/>
      <c r="W39"/>
    </row>
    <row r="40" spans="1:23" s="4" customFormat="1" x14ac:dyDescent="0.35">
      <c r="A40" s="4" t="s">
        <v>77</v>
      </c>
      <c r="B40" s="4">
        <v>17304</v>
      </c>
      <c r="C40" s="4" t="s">
        <v>37</v>
      </c>
      <c r="D40" s="4" t="s">
        <v>30</v>
      </c>
      <c r="E40" s="4">
        <v>100.06</v>
      </c>
      <c r="F40" s="4">
        <v>74.06</v>
      </c>
      <c r="G40" s="4">
        <v>782</v>
      </c>
      <c r="H40" s="4">
        <v>740</v>
      </c>
      <c r="I40" s="4">
        <v>761</v>
      </c>
      <c r="J40" s="4" t="s">
        <v>24</v>
      </c>
      <c r="K40" s="4">
        <v>1987</v>
      </c>
      <c r="L40" s="4" t="s">
        <v>38</v>
      </c>
      <c r="M40" s="5">
        <v>1421.21</v>
      </c>
      <c r="N40" s="4" t="s">
        <v>39</v>
      </c>
      <c r="P40" s="4">
        <v>6.57</v>
      </c>
      <c r="R40" s="4">
        <v>2.4</v>
      </c>
      <c r="S40" s="4">
        <v>6.57</v>
      </c>
      <c r="T40">
        <v>213.69040000000001</v>
      </c>
      <c r="U40">
        <v>26141.595151639998</v>
      </c>
      <c r="V40"/>
      <c r="W40"/>
    </row>
    <row r="41" spans="1:23" s="4" customFormat="1" x14ac:dyDescent="0.35">
      <c r="A41" s="4" t="s">
        <v>78</v>
      </c>
      <c r="B41" s="4">
        <v>18096</v>
      </c>
      <c r="C41" s="4" t="s">
        <v>37</v>
      </c>
      <c r="D41" s="4" t="s">
        <v>30</v>
      </c>
      <c r="E41" s="4">
        <v>100.14</v>
      </c>
      <c r="F41" s="4">
        <v>74.040000000000006</v>
      </c>
      <c r="G41" s="4">
        <v>780</v>
      </c>
      <c r="H41" s="4">
        <v>750</v>
      </c>
      <c r="I41" s="4">
        <v>765</v>
      </c>
      <c r="J41" s="4" t="s">
        <v>24</v>
      </c>
      <c r="K41" s="4">
        <v>1987</v>
      </c>
      <c r="L41" s="4" t="s">
        <v>38</v>
      </c>
      <c r="M41" s="5">
        <v>1421.21</v>
      </c>
      <c r="N41" s="4" t="s">
        <v>39</v>
      </c>
      <c r="P41" s="4">
        <v>6.57</v>
      </c>
      <c r="R41" s="4">
        <v>2.4</v>
      </c>
      <c r="S41" s="4">
        <v>6.57</v>
      </c>
      <c r="T41">
        <v>353.52170000000001</v>
      </c>
      <c r="U41">
        <v>26141.88895357</v>
      </c>
      <c r="V41"/>
      <c r="W41"/>
    </row>
    <row r="42" spans="1:23" s="4" customFormat="1" x14ac:dyDescent="0.35">
      <c r="A42" s="4" t="s">
        <v>79</v>
      </c>
      <c r="B42" s="4">
        <v>18586</v>
      </c>
      <c r="C42" s="4" t="s">
        <v>37</v>
      </c>
      <c r="D42" s="4" t="s">
        <v>30</v>
      </c>
      <c r="E42" s="4">
        <v>100.11</v>
      </c>
      <c r="F42" s="4">
        <v>74.010000000000005</v>
      </c>
      <c r="G42" s="4">
        <v>778</v>
      </c>
      <c r="H42" s="4">
        <v>750</v>
      </c>
      <c r="I42" s="4">
        <v>764</v>
      </c>
      <c r="J42" s="4" t="s">
        <v>24</v>
      </c>
      <c r="K42" s="4">
        <v>1987</v>
      </c>
      <c r="L42" s="4" t="s">
        <v>38</v>
      </c>
      <c r="M42" s="5">
        <v>1421.21</v>
      </c>
      <c r="N42" s="4" t="s">
        <v>39</v>
      </c>
      <c r="P42" s="4">
        <v>6.57</v>
      </c>
      <c r="R42" s="4">
        <v>2.4</v>
      </c>
      <c r="S42" s="4">
        <v>6.57</v>
      </c>
      <c r="T42">
        <v>46.492400000000004</v>
      </c>
      <c r="U42">
        <v>26141.917132899998</v>
      </c>
      <c r="V42"/>
      <c r="W42"/>
    </row>
    <row r="43" spans="1:23" s="4" customFormat="1" x14ac:dyDescent="0.35">
      <c r="A43" s="4" t="s">
        <v>80</v>
      </c>
      <c r="B43" s="4">
        <v>19039</v>
      </c>
      <c r="C43" s="4" t="s">
        <v>37</v>
      </c>
      <c r="D43" s="4" t="s">
        <v>30</v>
      </c>
      <c r="E43" s="4">
        <v>100</v>
      </c>
      <c r="F43" s="4">
        <v>74.05</v>
      </c>
      <c r="G43" s="4">
        <v>775</v>
      </c>
      <c r="H43" s="4">
        <v>742</v>
      </c>
      <c r="I43" s="4">
        <v>758.5</v>
      </c>
      <c r="J43" s="4" t="s">
        <v>24</v>
      </c>
      <c r="K43" s="4">
        <v>1988</v>
      </c>
      <c r="L43" s="4" t="s">
        <v>38</v>
      </c>
      <c r="M43" s="5">
        <v>1421.21</v>
      </c>
      <c r="N43" s="4" t="s">
        <v>39</v>
      </c>
      <c r="P43" s="4">
        <v>6.57</v>
      </c>
      <c r="R43" s="4">
        <v>2.4</v>
      </c>
      <c r="S43" s="4">
        <v>6.57</v>
      </c>
      <c r="T43">
        <v>50.396000000000001</v>
      </c>
      <c r="U43">
        <v>26141.886568680002</v>
      </c>
      <c r="V43"/>
      <c r="W43"/>
    </row>
    <row r="44" spans="1:23" s="4" customFormat="1" x14ac:dyDescent="0.35">
      <c r="A44" s="4" t="s">
        <v>81</v>
      </c>
      <c r="B44" s="4">
        <v>19257</v>
      </c>
      <c r="C44" s="4" t="s">
        <v>37</v>
      </c>
      <c r="D44" s="4" t="s">
        <v>30</v>
      </c>
      <c r="E44" s="4">
        <v>100.07</v>
      </c>
      <c r="F44" s="4">
        <v>74.05</v>
      </c>
      <c r="G44" s="4">
        <v>776</v>
      </c>
      <c r="H44" s="4">
        <v>748</v>
      </c>
      <c r="I44" s="4">
        <v>762</v>
      </c>
      <c r="J44" s="4" t="s">
        <v>24</v>
      </c>
      <c r="K44" s="4">
        <v>1988</v>
      </c>
      <c r="L44" s="4" t="s">
        <v>38</v>
      </c>
      <c r="M44" s="5">
        <v>1421.21</v>
      </c>
      <c r="N44" s="4" t="s">
        <v>39</v>
      </c>
      <c r="P44" s="4">
        <v>6.57</v>
      </c>
      <c r="R44" s="4">
        <v>2.4</v>
      </c>
      <c r="S44" s="4">
        <v>6.57</v>
      </c>
      <c r="T44">
        <v>337.41719999999998</v>
      </c>
      <c r="U44">
        <v>26141.95366223</v>
      </c>
      <c r="V44"/>
      <c r="W44"/>
    </row>
    <row r="45" spans="1:23" s="4" customFormat="1" x14ac:dyDescent="0.35">
      <c r="A45" s="4" t="s">
        <v>82</v>
      </c>
      <c r="B45" s="4">
        <v>19770</v>
      </c>
      <c r="C45" s="4" t="s">
        <v>37</v>
      </c>
      <c r="D45" s="4" t="s">
        <v>30</v>
      </c>
      <c r="E45" s="4">
        <v>99.98</v>
      </c>
      <c r="F45" s="4">
        <v>74.040000000000006</v>
      </c>
      <c r="G45" s="4">
        <v>761</v>
      </c>
      <c r="H45" s="4">
        <v>754</v>
      </c>
      <c r="I45" s="4">
        <v>757.5</v>
      </c>
      <c r="J45" s="4" t="s">
        <v>24</v>
      </c>
      <c r="K45" s="4">
        <v>1989</v>
      </c>
      <c r="L45" s="4" t="s">
        <v>38</v>
      </c>
      <c r="M45" s="5">
        <v>1421.21</v>
      </c>
      <c r="N45" s="4" t="s">
        <v>39</v>
      </c>
      <c r="P45" s="4">
        <v>6.57</v>
      </c>
      <c r="R45" s="4">
        <v>2.4</v>
      </c>
      <c r="S45" s="4">
        <v>6.57</v>
      </c>
      <c r="T45">
        <v>156.38220000000001</v>
      </c>
      <c r="U45">
        <v>26141.542607989999</v>
      </c>
      <c r="V45"/>
      <c r="W45"/>
    </row>
    <row r="46" spans="1:23" s="4" customFormat="1" x14ac:dyDescent="0.35">
      <c r="A46" s="4" t="s">
        <v>83</v>
      </c>
      <c r="B46" s="4">
        <v>20433</v>
      </c>
      <c r="C46" s="4" t="s">
        <v>37</v>
      </c>
      <c r="D46" s="4" t="s">
        <v>30</v>
      </c>
      <c r="E46" s="4">
        <v>100.17</v>
      </c>
      <c r="F46" s="4">
        <v>74.03</v>
      </c>
      <c r="G46" s="4">
        <v>796</v>
      </c>
      <c r="H46" s="4">
        <v>738</v>
      </c>
      <c r="I46" s="4">
        <v>767</v>
      </c>
      <c r="J46" s="4" t="s">
        <v>24</v>
      </c>
      <c r="K46" s="4">
        <v>1990</v>
      </c>
      <c r="L46" s="4" t="s">
        <v>38</v>
      </c>
      <c r="M46" s="5">
        <v>1421.21</v>
      </c>
      <c r="N46" s="4" t="s">
        <v>39</v>
      </c>
      <c r="P46" s="4">
        <v>6.57</v>
      </c>
      <c r="R46" s="4">
        <v>2.4</v>
      </c>
      <c r="S46" s="4">
        <v>6.57</v>
      </c>
      <c r="T46">
        <v>127.334</v>
      </c>
      <c r="U46">
        <v>26141.161956129999</v>
      </c>
      <c r="V46"/>
      <c r="W46"/>
    </row>
    <row r="47" spans="1:23" s="4" customFormat="1" x14ac:dyDescent="0.35">
      <c r="A47" s="4" t="s">
        <v>84</v>
      </c>
      <c r="B47" s="4">
        <v>21015</v>
      </c>
      <c r="C47" s="4" t="s">
        <v>37</v>
      </c>
      <c r="D47" s="4" t="s">
        <v>30</v>
      </c>
      <c r="E47" s="4">
        <v>100.19</v>
      </c>
      <c r="F47" s="4">
        <v>74.05</v>
      </c>
      <c r="G47" s="4">
        <v>782</v>
      </c>
      <c r="H47" s="4">
        <v>753</v>
      </c>
      <c r="I47" s="4">
        <v>767.5</v>
      </c>
      <c r="J47" s="4" t="s">
        <v>24</v>
      </c>
      <c r="K47" s="4">
        <v>1990</v>
      </c>
      <c r="L47" s="4" t="s">
        <v>38</v>
      </c>
      <c r="M47" s="5">
        <v>1421.21</v>
      </c>
      <c r="N47" s="4" t="s">
        <v>39</v>
      </c>
      <c r="P47" s="4">
        <v>6.57</v>
      </c>
      <c r="R47" s="4">
        <v>2.4</v>
      </c>
      <c r="S47" s="4">
        <v>6.57</v>
      </c>
      <c r="T47">
        <v>273.59800000000001</v>
      </c>
      <c r="U47">
        <v>26141.813627470001</v>
      </c>
      <c r="V47"/>
      <c r="W47"/>
    </row>
    <row r="48" spans="1:23" s="4" customFormat="1" x14ac:dyDescent="0.35">
      <c r="A48" s="4" t="s">
        <v>85</v>
      </c>
      <c r="B48" s="4">
        <v>21419</v>
      </c>
      <c r="C48" s="4" t="s">
        <v>37</v>
      </c>
      <c r="D48" s="4" t="s">
        <v>30</v>
      </c>
      <c r="E48" s="4">
        <v>100.33</v>
      </c>
      <c r="F48" s="4">
        <v>74.040000000000006</v>
      </c>
      <c r="G48" s="4">
        <v>803</v>
      </c>
      <c r="H48" s="4">
        <v>745</v>
      </c>
      <c r="I48" s="4">
        <v>774</v>
      </c>
      <c r="J48" s="4" t="s">
        <v>24</v>
      </c>
      <c r="K48" s="4">
        <v>1991</v>
      </c>
      <c r="L48" s="4" t="s">
        <v>38</v>
      </c>
      <c r="M48" s="5">
        <v>1421.21</v>
      </c>
      <c r="N48" s="4" t="s">
        <v>39</v>
      </c>
      <c r="P48" s="4">
        <v>6.57</v>
      </c>
      <c r="R48" s="4">
        <v>2.4</v>
      </c>
      <c r="S48" s="4">
        <v>6.57</v>
      </c>
      <c r="T48">
        <v>91.753200000000007</v>
      </c>
      <c r="U48">
        <v>26141.882249329999</v>
      </c>
      <c r="V48"/>
      <c r="W48"/>
    </row>
    <row r="49" spans="1:23" s="4" customFormat="1" x14ac:dyDescent="0.35">
      <c r="A49" s="4" t="s">
        <v>86</v>
      </c>
      <c r="B49" s="4">
        <v>22081</v>
      </c>
      <c r="C49" s="4" t="s">
        <v>37</v>
      </c>
      <c r="D49" s="4" t="s">
        <v>30</v>
      </c>
      <c r="E49" s="4">
        <v>100.36</v>
      </c>
      <c r="F49" s="4">
        <v>74.040000000000006</v>
      </c>
      <c r="G49" s="4">
        <v>801</v>
      </c>
      <c r="H49" s="4">
        <v>751</v>
      </c>
      <c r="I49" s="4">
        <v>776</v>
      </c>
      <c r="J49" s="4" t="s">
        <v>24</v>
      </c>
      <c r="K49" s="4">
        <v>1992</v>
      </c>
      <c r="L49" s="4" t="s">
        <v>38</v>
      </c>
      <c r="M49" s="5">
        <v>1421.21</v>
      </c>
      <c r="N49" s="4" t="s">
        <v>39</v>
      </c>
      <c r="P49" s="4">
        <v>6.57</v>
      </c>
      <c r="R49" s="4">
        <v>2.4</v>
      </c>
      <c r="S49" s="4">
        <v>6.57</v>
      </c>
      <c r="T49">
        <v>236.0797</v>
      </c>
      <c r="U49">
        <v>26141.698786149998</v>
      </c>
      <c r="V49"/>
      <c r="W49"/>
    </row>
    <row r="50" spans="1:23" s="4" customFormat="1" x14ac:dyDescent="0.35">
      <c r="A50" s="4" t="s">
        <v>87</v>
      </c>
      <c r="B50" s="4">
        <v>22676</v>
      </c>
      <c r="C50" s="4" t="s">
        <v>37</v>
      </c>
      <c r="D50" s="4" t="s">
        <v>30</v>
      </c>
      <c r="E50" s="4">
        <v>100.33</v>
      </c>
      <c r="F50" s="4">
        <v>74.040000000000006</v>
      </c>
      <c r="G50" s="4">
        <v>788</v>
      </c>
      <c r="H50" s="4">
        <v>761</v>
      </c>
      <c r="I50" s="4">
        <v>774.5</v>
      </c>
      <c r="J50" s="4" t="s">
        <v>24</v>
      </c>
      <c r="K50" s="4">
        <v>1993</v>
      </c>
      <c r="L50" s="4" t="s">
        <v>38</v>
      </c>
      <c r="M50" s="5">
        <v>1421.21</v>
      </c>
      <c r="N50" s="4" t="s">
        <v>39</v>
      </c>
      <c r="P50" s="4">
        <v>6.57</v>
      </c>
      <c r="R50" s="4">
        <v>2.4</v>
      </c>
      <c r="S50" s="4">
        <v>6.57</v>
      </c>
      <c r="T50">
        <v>334.79340000000002</v>
      </c>
      <c r="U50">
        <v>26141.875355330001</v>
      </c>
      <c r="V50"/>
      <c r="W50"/>
    </row>
    <row r="51" spans="1:23" s="4" customFormat="1" x14ac:dyDescent="0.35">
      <c r="A51" s="4" t="s">
        <v>88</v>
      </c>
      <c r="B51" s="4">
        <v>23432</v>
      </c>
      <c r="C51" s="4" t="s">
        <v>37</v>
      </c>
      <c r="D51" s="4" t="s">
        <v>30</v>
      </c>
      <c r="E51" s="4">
        <v>100.39</v>
      </c>
      <c r="F51" s="4">
        <v>74.03</v>
      </c>
      <c r="G51" s="4">
        <v>782</v>
      </c>
      <c r="H51" s="4">
        <v>772</v>
      </c>
      <c r="I51" s="4">
        <v>777</v>
      </c>
      <c r="J51" s="4" t="s">
        <v>24</v>
      </c>
      <c r="K51" s="4">
        <v>1994</v>
      </c>
      <c r="L51" s="4" t="s">
        <v>38</v>
      </c>
      <c r="M51" s="5">
        <v>1421.21</v>
      </c>
      <c r="N51" s="4" t="s">
        <v>39</v>
      </c>
      <c r="P51" s="4">
        <v>6.57</v>
      </c>
      <c r="R51" s="4">
        <v>2.4</v>
      </c>
      <c r="S51" s="4">
        <v>6.57</v>
      </c>
      <c r="T51">
        <v>92.587199999999996</v>
      </c>
      <c r="U51">
        <v>26141.953083830002</v>
      </c>
      <c r="V51"/>
      <c r="W5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911F-EE2B-4872-8025-7748DD13EE8C}">
  <dimension ref="A1:W35"/>
  <sheetViews>
    <sheetView workbookViewId="0">
      <selection activeCell="B2" sqref="B2"/>
    </sheetView>
  </sheetViews>
  <sheetFormatPr baseColWidth="10" defaultColWidth="8.7265625" defaultRowHeight="14.5" x14ac:dyDescent="0.35"/>
  <cols>
    <col min="1" max="1" width="10.1796875" bestFit="1" customWidth="1"/>
    <col min="20" max="20" width="10.453125" bestFit="1" customWidth="1"/>
    <col min="21" max="21" width="11.8164062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</row>
    <row r="2" spans="1:23" s="4" customFormat="1" x14ac:dyDescent="0.35">
      <c r="A2" s="4" t="s">
        <v>89</v>
      </c>
      <c r="B2" s="4">
        <v>16182</v>
      </c>
      <c r="C2" s="4" t="s">
        <v>90</v>
      </c>
      <c r="D2" s="4" t="s">
        <v>30</v>
      </c>
      <c r="E2" s="4">
        <v>101.65</v>
      </c>
      <c r="F2" s="4">
        <v>71</v>
      </c>
      <c r="G2" s="4">
        <v>842</v>
      </c>
      <c r="H2" s="4">
        <v>831</v>
      </c>
      <c r="I2" s="4">
        <v>836.5</v>
      </c>
      <c r="J2" s="4" t="s">
        <v>24</v>
      </c>
      <c r="K2" s="4">
        <v>1985</v>
      </c>
      <c r="L2" s="4" t="s">
        <v>38</v>
      </c>
      <c r="M2" s="5">
        <v>8225.9699999999993</v>
      </c>
      <c r="N2" s="4" t="s">
        <v>39</v>
      </c>
      <c r="P2" s="4">
        <v>10.4</v>
      </c>
      <c r="R2" s="4">
        <v>3.9</v>
      </c>
      <c r="S2" s="4">
        <v>10.4</v>
      </c>
      <c r="T2">
        <v>346.34480000000002</v>
      </c>
      <c r="U2">
        <v>26141.937065099999</v>
      </c>
      <c r="V2"/>
      <c r="W2"/>
    </row>
    <row r="3" spans="1:23" s="4" customFormat="1" x14ac:dyDescent="0.35">
      <c r="A3" s="4" t="s">
        <v>91</v>
      </c>
      <c r="B3" s="4">
        <v>17590</v>
      </c>
      <c r="C3" s="4" t="s">
        <v>90</v>
      </c>
      <c r="D3" s="4" t="s">
        <v>30</v>
      </c>
      <c r="E3" s="4">
        <v>101.61</v>
      </c>
      <c r="F3" s="4">
        <v>71</v>
      </c>
      <c r="G3" s="4">
        <v>838</v>
      </c>
      <c r="H3" s="4">
        <v>832</v>
      </c>
      <c r="I3" s="4">
        <v>835</v>
      </c>
      <c r="J3" s="4" t="s">
        <v>24</v>
      </c>
      <c r="K3" s="4">
        <v>1987</v>
      </c>
      <c r="L3" s="4" t="s">
        <v>38</v>
      </c>
      <c r="M3" s="5">
        <v>8225.9699999999993</v>
      </c>
      <c r="N3" s="4" t="s">
        <v>39</v>
      </c>
      <c r="P3" s="4">
        <v>10.4</v>
      </c>
      <c r="R3" s="4">
        <v>3.9</v>
      </c>
      <c r="S3" s="4">
        <v>10.4</v>
      </c>
      <c r="T3">
        <v>123.28789999999999</v>
      </c>
      <c r="U3">
        <v>26141.39412339</v>
      </c>
      <c r="V3"/>
      <c r="W3"/>
    </row>
    <row r="4" spans="1:23" s="4" customFormat="1" x14ac:dyDescent="0.35">
      <c r="A4" s="4" t="s">
        <v>92</v>
      </c>
      <c r="B4" s="4">
        <v>17974</v>
      </c>
      <c r="C4" s="4" t="s">
        <v>90</v>
      </c>
      <c r="D4" s="4" t="s">
        <v>30</v>
      </c>
      <c r="E4" s="4">
        <v>101.58</v>
      </c>
      <c r="F4" s="4">
        <v>71.010000000000005</v>
      </c>
      <c r="G4" s="4">
        <v>842</v>
      </c>
      <c r="H4" s="4">
        <v>825</v>
      </c>
      <c r="I4" s="4">
        <v>833.5</v>
      </c>
      <c r="J4" s="4" t="s">
        <v>24</v>
      </c>
      <c r="K4" s="4">
        <v>1987</v>
      </c>
      <c r="L4" s="4" t="s">
        <v>38</v>
      </c>
      <c r="M4" s="5">
        <v>8225.9699999999993</v>
      </c>
      <c r="N4" s="4" t="s">
        <v>39</v>
      </c>
      <c r="P4" s="4">
        <v>10.4</v>
      </c>
      <c r="R4" s="4">
        <v>3.9</v>
      </c>
      <c r="S4" s="4">
        <v>10.4</v>
      </c>
      <c r="T4">
        <v>238.87200000000001</v>
      </c>
      <c r="U4">
        <v>26141.711301970001</v>
      </c>
      <c r="V4"/>
      <c r="W4"/>
    </row>
    <row r="5" spans="1:23" s="4" customFormat="1" x14ac:dyDescent="0.35">
      <c r="A5" s="4" t="s">
        <v>93</v>
      </c>
      <c r="B5" s="4">
        <v>19120</v>
      </c>
      <c r="C5" s="4" t="s">
        <v>90</v>
      </c>
      <c r="D5" s="4" t="s">
        <v>30</v>
      </c>
      <c r="E5" s="4">
        <v>101.44</v>
      </c>
      <c r="F5" s="4">
        <v>71.010000000000005</v>
      </c>
      <c r="G5" s="4">
        <v>844</v>
      </c>
      <c r="H5" s="4">
        <v>809</v>
      </c>
      <c r="I5" s="4">
        <v>826.5</v>
      </c>
      <c r="J5" s="4" t="s">
        <v>24</v>
      </c>
      <c r="K5" s="4">
        <v>1988</v>
      </c>
      <c r="L5" s="4" t="s">
        <v>38</v>
      </c>
      <c r="M5" s="5">
        <v>8225.9699999999993</v>
      </c>
      <c r="N5" s="4" t="s">
        <v>39</v>
      </c>
      <c r="P5" s="4">
        <v>10.4</v>
      </c>
      <c r="R5" s="4">
        <v>3.9</v>
      </c>
      <c r="S5" s="4">
        <v>10.4</v>
      </c>
      <c r="T5">
        <v>274.0204</v>
      </c>
      <c r="U5">
        <v>26141.767994239999</v>
      </c>
      <c r="V5"/>
      <c r="W5"/>
    </row>
    <row r="6" spans="1:23" s="4" customFormat="1" x14ac:dyDescent="0.35">
      <c r="A6" s="4" t="s">
        <v>94</v>
      </c>
      <c r="B6" s="4">
        <v>19650</v>
      </c>
      <c r="C6" s="4" t="s">
        <v>90</v>
      </c>
      <c r="D6" s="4" t="s">
        <v>30</v>
      </c>
      <c r="E6" s="4">
        <v>101.68</v>
      </c>
      <c r="F6" s="4">
        <v>71</v>
      </c>
      <c r="G6" s="4">
        <v>850</v>
      </c>
      <c r="H6" s="4">
        <v>827</v>
      </c>
      <c r="I6" s="4">
        <v>838.5</v>
      </c>
      <c r="J6" s="4" t="s">
        <v>24</v>
      </c>
      <c r="K6" s="4">
        <v>1988</v>
      </c>
      <c r="L6" s="4" t="s">
        <v>38</v>
      </c>
      <c r="M6" s="5">
        <v>8225.9699999999993</v>
      </c>
      <c r="N6" s="4" t="s">
        <v>39</v>
      </c>
      <c r="P6" s="4">
        <v>10.4</v>
      </c>
      <c r="R6" s="4">
        <v>3.9</v>
      </c>
      <c r="S6" s="4">
        <v>10.4</v>
      </c>
      <c r="T6">
        <v>357.51510000000002</v>
      </c>
      <c r="U6">
        <v>26141.870519349999</v>
      </c>
      <c r="V6"/>
      <c r="W6"/>
    </row>
    <row r="7" spans="1:23" s="4" customFormat="1" x14ac:dyDescent="0.35">
      <c r="A7" s="4" t="s">
        <v>95</v>
      </c>
      <c r="B7" s="4">
        <v>20625</v>
      </c>
      <c r="C7" s="4" t="s">
        <v>90</v>
      </c>
      <c r="D7" s="4" t="s">
        <v>30</v>
      </c>
      <c r="E7" s="4">
        <v>101.77</v>
      </c>
      <c r="F7" s="4">
        <v>71</v>
      </c>
      <c r="G7" s="4">
        <v>854</v>
      </c>
      <c r="H7" s="4">
        <v>831</v>
      </c>
      <c r="I7" s="4">
        <v>842.5</v>
      </c>
      <c r="J7" s="4" t="s">
        <v>24</v>
      </c>
      <c r="K7" s="4">
        <v>1990</v>
      </c>
      <c r="L7" s="4" t="s">
        <v>38</v>
      </c>
      <c r="M7" s="5">
        <v>8225.9699999999993</v>
      </c>
      <c r="N7" s="4" t="s">
        <v>39</v>
      </c>
      <c r="P7" s="4">
        <v>10.4</v>
      </c>
      <c r="R7" s="4">
        <v>3.9</v>
      </c>
      <c r="S7" s="4">
        <v>10.4</v>
      </c>
      <c r="T7">
        <v>144.82839999999999</v>
      </c>
      <c r="U7">
        <v>26141.58024956</v>
      </c>
      <c r="V7"/>
      <c r="W7"/>
    </row>
    <row r="8" spans="1:23" s="4" customFormat="1" x14ac:dyDescent="0.35">
      <c r="A8" s="4" t="s">
        <v>96</v>
      </c>
      <c r="B8" s="4">
        <v>22220</v>
      </c>
      <c r="C8" s="4" t="s">
        <v>90</v>
      </c>
      <c r="D8" s="4" t="s">
        <v>30</v>
      </c>
      <c r="E8" s="4">
        <v>101.63</v>
      </c>
      <c r="F8" s="4">
        <v>71</v>
      </c>
      <c r="G8" s="4">
        <v>845</v>
      </c>
      <c r="H8" s="4">
        <v>827</v>
      </c>
      <c r="I8" s="4">
        <v>836</v>
      </c>
      <c r="J8" s="4" t="s">
        <v>24</v>
      </c>
      <c r="K8" s="4">
        <v>1992</v>
      </c>
      <c r="L8" s="4" t="s">
        <v>38</v>
      </c>
      <c r="M8" s="5">
        <v>8225.9699999999993</v>
      </c>
      <c r="N8" s="4" t="s">
        <v>39</v>
      </c>
      <c r="P8" s="4">
        <v>10.4</v>
      </c>
      <c r="R8" s="4">
        <v>3.9</v>
      </c>
      <c r="S8" s="4">
        <v>10.4</v>
      </c>
      <c r="T8">
        <v>34.133899999999997</v>
      </c>
      <c r="U8">
        <v>26141.910974629998</v>
      </c>
      <c r="V8"/>
      <c r="W8"/>
    </row>
    <row r="9" spans="1:23" s="4" customFormat="1" x14ac:dyDescent="0.35">
      <c r="A9" s="4" t="s">
        <v>97</v>
      </c>
      <c r="B9" s="4">
        <v>22285</v>
      </c>
      <c r="C9" s="4" t="s">
        <v>90</v>
      </c>
      <c r="D9" s="4" t="s">
        <v>30</v>
      </c>
      <c r="E9" s="4">
        <v>101.73</v>
      </c>
      <c r="F9" s="4">
        <v>71.02</v>
      </c>
      <c r="G9" s="4">
        <v>845</v>
      </c>
      <c r="H9" s="4">
        <v>836</v>
      </c>
      <c r="I9" s="4">
        <v>840.5</v>
      </c>
      <c r="J9" s="4" t="s">
        <v>24</v>
      </c>
      <c r="K9" s="4">
        <v>1992</v>
      </c>
      <c r="L9" s="4" t="s">
        <v>38</v>
      </c>
      <c r="M9" s="5"/>
      <c r="T9">
        <v>211.0566</v>
      </c>
      <c r="U9">
        <v>26141.670731260001</v>
      </c>
      <c r="V9"/>
      <c r="W9"/>
    </row>
    <row r="10" spans="1:23" s="4" customFormat="1" x14ac:dyDescent="0.35">
      <c r="A10" s="4" t="s">
        <v>98</v>
      </c>
      <c r="B10" s="4">
        <v>22566</v>
      </c>
      <c r="C10" s="4" t="s">
        <v>90</v>
      </c>
      <c r="D10" s="4" t="s">
        <v>30</v>
      </c>
      <c r="E10" s="4">
        <v>101.74</v>
      </c>
      <c r="F10" s="4">
        <v>71</v>
      </c>
      <c r="G10" s="4">
        <v>850</v>
      </c>
      <c r="H10" s="4">
        <v>832</v>
      </c>
      <c r="I10" s="4">
        <v>841</v>
      </c>
      <c r="J10" s="4" t="s">
        <v>24</v>
      </c>
      <c r="K10" s="4">
        <v>1993</v>
      </c>
      <c r="L10" s="4" t="s">
        <v>38</v>
      </c>
      <c r="M10" s="5">
        <v>8500</v>
      </c>
      <c r="N10" s="4" t="s">
        <v>39</v>
      </c>
      <c r="P10" s="4">
        <v>10.4</v>
      </c>
      <c r="R10" s="4">
        <v>3.9</v>
      </c>
      <c r="S10" s="4">
        <v>10.4</v>
      </c>
      <c r="T10">
        <v>61.353900000000003</v>
      </c>
      <c r="U10">
        <v>26141.930673449999</v>
      </c>
      <c r="V10"/>
      <c r="W10"/>
    </row>
    <row r="11" spans="1:23" s="4" customFormat="1" x14ac:dyDescent="0.35">
      <c r="A11" s="4" t="s">
        <v>99</v>
      </c>
      <c r="B11" s="4">
        <v>23088</v>
      </c>
      <c r="C11" s="4" t="s">
        <v>90</v>
      </c>
      <c r="D11" s="4" t="s">
        <v>30</v>
      </c>
      <c r="E11" s="4">
        <v>101.77</v>
      </c>
      <c r="F11" s="4">
        <v>71</v>
      </c>
      <c r="G11" s="4">
        <v>846</v>
      </c>
      <c r="H11" s="4">
        <v>839</v>
      </c>
      <c r="I11" s="4">
        <v>842.5</v>
      </c>
      <c r="J11" s="4" t="s">
        <v>24</v>
      </c>
      <c r="K11" s="4">
        <v>1994</v>
      </c>
      <c r="L11" s="4" t="s">
        <v>38</v>
      </c>
      <c r="M11" s="5">
        <v>8225.9699999999993</v>
      </c>
      <c r="N11" s="4" t="s">
        <v>39</v>
      </c>
      <c r="P11" s="4">
        <v>10.4</v>
      </c>
      <c r="R11" s="4">
        <v>3.9</v>
      </c>
      <c r="S11" s="4">
        <v>10.4</v>
      </c>
      <c r="T11">
        <v>277.32490000000001</v>
      </c>
      <c r="U11">
        <v>26141.81004728</v>
      </c>
      <c r="V11"/>
      <c r="W11"/>
    </row>
    <row r="12" spans="1:23" s="4" customFormat="1" x14ac:dyDescent="0.35">
      <c r="A12" s="4" t="s">
        <v>100</v>
      </c>
      <c r="B12" s="4">
        <v>23705</v>
      </c>
      <c r="C12" s="4" t="s">
        <v>90</v>
      </c>
      <c r="D12" s="4" t="s">
        <v>30</v>
      </c>
      <c r="E12" s="4">
        <v>101.73</v>
      </c>
      <c r="F12" s="4">
        <v>71.02</v>
      </c>
      <c r="G12" s="4">
        <v>849</v>
      </c>
      <c r="H12" s="4">
        <v>832</v>
      </c>
      <c r="I12" s="4">
        <v>840.5</v>
      </c>
      <c r="J12" s="4" t="s">
        <v>24</v>
      </c>
      <c r="K12" s="4">
        <v>1995</v>
      </c>
      <c r="L12" s="4" t="s">
        <v>38</v>
      </c>
      <c r="M12" s="5">
        <v>8225.9699999999993</v>
      </c>
      <c r="N12" s="4" t="s">
        <v>39</v>
      </c>
      <c r="P12" s="4">
        <v>10.4</v>
      </c>
      <c r="R12" s="4">
        <v>3.9</v>
      </c>
      <c r="S12" s="4">
        <v>10.4</v>
      </c>
      <c r="T12">
        <v>26.518899999999999</v>
      </c>
      <c r="U12">
        <v>26141.915002680002</v>
      </c>
      <c r="V12"/>
      <c r="W12"/>
    </row>
    <row r="13" spans="1:23" s="4" customFormat="1" x14ac:dyDescent="0.35">
      <c r="A13" s="4" t="s">
        <v>101</v>
      </c>
      <c r="B13" s="4">
        <v>25407</v>
      </c>
      <c r="C13" s="4" t="s">
        <v>90</v>
      </c>
      <c r="D13" s="4" t="s">
        <v>30</v>
      </c>
      <c r="E13" s="4">
        <v>101.68</v>
      </c>
      <c r="F13" s="4">
        <v>71.010000000000005</v>
      </c>
      <c r="G13" s="4">
        <v>845</v>
      </c>
      <c r="H13" s="4">
        <v>831</v>
      </c>
      <c r="I13" s="4">
        <v>838</v>
      </c>
      <c r="J13" s="4" t="s">
        <v>24</v>
      </c>
      <c r="K13" s="4">
        <v>1998</v>
      </c>
      <c r="L13" s="4" t="s">
        <v>38</v>
      </c>
      <c r="M13" s="5">
        <v>8225.9699999999993</v>
      </c>
      <c r="N13" s="4" t="s">
        <v>39</v>
      </c>
      <c r="P13" s="4">
        <v>10.4</v>
      </c>
      <c r="R13" s="4">
        <v>3.9</v>
      </c>
      <c r="S13" s="4">
        <v>10.4</v>
      </c>
      <c r="T13">
        <v>27.634399999999999</v>
      </c>
      <c r="U13">
        <v>26141.889976620001</v>
      </c>
      <c r="V13"/>
      <c r="W13"/>
    </row>
    <row r="14" spans="1:23" s="4" customFormat="1" x14ac:dyDescent="0.35">
      <c r="A14" s="4" t="s">
        <v>102</v>
      </c>
      <c r="B14" s="4">
        <v>26070</v>
      </c>
      <c r="C14" s="4" t="s">
        <v>90</v>
      </c>
      <c r="D14" s="4" t="s">
        <v>30</v>
      </c>
      <c r="E14" s="4">
        <v>101.71</v>
      </c>
      <c r="F14" s="4">
        <v>71</v>
      </c>
      <c r="G14" s="4">
        <v>850</v>
      </c>
      <c r="H14" s="4">
        <v>829</v>
      </c>
      <c r="I14" s="4">
        <v>839.5</v>
      </c>
      <c r="J14" s="4" t="s">
        <v>24</v>
      </c>
      <c r="K14" s="4">
        <v>2000</v>
      </c>
      <c r="L14" s="4" t="s">
        <v>38</v>
      </c>
      <c r="M14" s="5">
        <v>9000</v>
      </c>
      <c r="N14" s="4" t="s">
        <v>39</v>
      </c>
      <c r="P14" s="4">
        <v>10.4</v>
      </c>
      <c r="R14" s="4">
        <v>3.9</v>
      </c>
      <c r="S14" s="4">
        <v>10.4</v>
      </c>
      <c r="T14">
        <v>303.84679999999997</v>
      </c>
      <c r="U14">
        <v>26141.924417949998</v>
      </c>
      <c r="V14"/>
      <c r="W14"/>
    </row>
    <row r="15" spans="1:23" s="4" customFormat="1" x14ac:dyDescent="0.35">
      <c r="A15" s="4" t="s">
        <v>103</v>
      </c>
      <c r="B15" s="4">
        <v>28353</v>
      </c>
      <c r="C15" s="4" t="s">
        <v>90</v>
      </c>
      <c r="D15" s="4" t="s">
        <v>30</v>
      </c>
      <c r="E15" s="4">
        <v>101.8</v>
      </c>
      <c r="F15" s="4">
        <v>71</v>
      </c>
      <c r="G15" s="4">
        <v>849</v>
      </c>
      <c r="H15" s="4">
        <v>839</v>
      </c>
      <c r="I15" s="4">
        <v>844</v>
      </c>
      <c r="J15" s="4" t="s">
        <v>24</v>
      </c>
      <c r="K15" s="4">
        <v>2004</v>
      </c>
      <c r="L15" s="4" t="s">
        <v>38</v>
      </c>
      <c r="M15" s="5">
        <v>9000</v>
      </c>
      <c r="N15" s="4" t="s">
        <v>39</v>
      </c>
      <c r="P15" s="4">
        <v>10.4</v>
      </c>
      <c r="R15" s="4">
        <v>3.9</v>
      </c>
      <c r="S15" s="4">
        <v>10.4</v>
      </c>
      <c r="T15">
        <v>78.797300000000007</v>
      </c>
      <c r="U15">
        <v>26141.927181849998</v>
      </c>
      <c r="V15"/>
      <c r="W15"/>
    </row>
    <row r="35" spans="6:6" x14ac:dyDescent="0.35">
      <c r="F35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9C07-5564-4ABF-8D9E-9ED460210F21}">
  <dimension ref="A1:W143"/>
  <sheetViews>
    <sheetView workbookViewId="0">
      <selection activeCell="A159" sqref="A159:XFD159"/>
    </sheetView>
  </sheetViews>
  <sheetFormatPr baseColWidth="10" defaultColWidth="8.7265625" defaultRowHeight="14.5" x14ac:dyDescent="0.35"/>
  <cols>
    <col min="1" max="1" width="10.1796875" bestFit="1" customWidth="1"/>
    <col min="2" max="2" width="15.81640625" bestFit="1" customWidth="1"/>
    <col min="5" max="5" width="7.54296875" bestFit="1" customWidth="1"/>
    <col min="6" max="6" width="12.54296875" bestFit="1" customWidth="1"/>
    <col min="9" max="9" width="14.7265625" bestFit="1" customWidth="1"/>
    <col min="10" max="10" width="9.1796875" bestFit="1" customWidth="1"/>
    <col min="11" max="11" width="13.7265625" bestFit="1" customWidth="1"/>
    <col min="20" max="20" width="10.453125" bestFit="1" customWidth="1"/>
    <col min="21" max="21" width="11.8164062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</row>
    <row r="2" spans="1:23" s="4" customFormat="1" x14ac:dyDescent="0.35">
      <c r="A2" s="4" t="s">
        <v>117</v>
      </c>
      <c r="B2" s="4">
        <v>6149</v>
      </c>
      <c r="C2" s="4" t="s">
        <v>37</v>
      </c>
      <c r="D2" s="4" t="s">
        <v>30</v>
      </c>
      <c r="E2" s="4">
        <v>104.1</v>
      </c>
      <c r="F2" s="4">
        <v>82.97</v>
      </c>
      <c r="G2" s="4">
        <v>959</v>
      </c>
      <c r="H2" s="4">
        <v>946</v>
      </c>
      <c r="I2" s="4">
        <v>952.5</v>
      </c>
      <c r="J2" s="4" t="s">
        <v>24</v>
      </c>
      <c r="K2" s="4">
        <v>1972</v>
      </c>
      <c r="L2" s="4" t="s">
        <v>38</v>
      </c>
      <c r="M2" s="5">
        <v>1434</v>
      </c>
      <c r="N2" s="4" t="s">
        <v>39</v>
      </c>
      <c r="P2" s="4">
        <v>4.2</v>
      </c>
      <c r="R2" s="4">
        <v>2.4</v>
      </c>
      <c r="S2" s="4">
        <v>4.2</v>
      </c>
      <c r="T2">
        <v>291.5487</v>
      </c>
      <c r="U2">
        <v>26141.880212939999</v>
      </c>
      <c r="V2"/>
      <c r="W2"/>
    </row>
    <row r="3" spans="1:23" s="4" customFormat="1" x14ac:dyDescent="0.35">
      <c r="A3" s="4" t="s">
        <v>118</v>
      </c>
      <c r="B3" s="4">
        <v>6708</v>
      </c>
      <c r="C3" s="4" t="s">
        <v>37</v>
      </c>
      <c r="D3" s="4" t="s">
        <v>30</v>
      </c>
      <c r="E3" s="4">
        <v>104.76</v>
      </c>
      <c r="F3" s="4">
        <v>82.95</v>
      </c>
      <c r="G3" s="4">
        <v>993</v>
      </c>
      <c r="H3" s="4">
        <v>974</v>
      </c>
      <c r="I3" s="4">
        <v>983.5</v>
      </c>
      <c r="J3" s="4" t="s">
        <v>24</v>
      </c>
      <c r="K3" s="4">
        <v>1973</v>
      </c>
      <c r="L3" s="4" t="s">
        <v>38</v>
      </c>
      <c r="M3" s="5">
        <v>1434</v>
      </c>
      <c r="N3" s="4" t="s">
        <v>39</v>
      </c>
      <c r="P3" s="4">
        <v>4.2</v>
      </c>
      <c r="R3" s="4">
        <v>2.4</v>
      </c>
      <c r="S3" s="4">
        <v>4.2</v>
      </c>
      <c r="T3">
        <v>167.63030000000001</v>
      </c>
      <c r="U3">
        <v>26141.345574999999</v>
      </c>
      <c r="V3"/>
      <c r="W3"/>
    </row>
    <row r="4" spans="1:23" s="4" customFormat="1" x14ac:dyDescent="0.35">
      <c r="A4" s="4" t="s">
        <v>119</v>
      </c>
      <c r="B4" s="4">
        <v>6829</v>
      </c>
      <c r="C4" s="4" t="s">
        <v>37</v>
      </c>
      <c r="D4" s="4" t="s">
        <v>30</v>
      </c>
      <c r="E4" s="4">
        <v>104.54</v>
      </c>
      <c r="F4" s="4">
        <v>82.94</v>
      </c>
      <c r="G4" s="4">
        <v>990</v>
      </c>
      <c r="H4" s="4">
        <v>955</v>
      </c>
      <c r="I4" s="4">
        <v>972.5</v>
      </c>
      <c r="J4" s="4" t="s">
        <v>24</v>
      </c>
      <c r="K4" s="4">
        <v>1973</v>
      </c>
      <c r="L4" s="4" t="s">
        <v>38</v>
      </c>
      <c r="M4" s="5">
        <v>1434</v>
      </c>
      <c r="N4" s="4" t="s">
        <v>39</v>
      </c>
      <c r="P4" s="4">
        <v>4.2</v>
      </c>
      <c r="R4" s="4">
        <v>2.4</v>
      </c>
      <c r="S4" s="4">
        <v>4.2</v>
      </c>
      <c r="T4">
        <v>139.89879999999999</v>
      </c>
      <c r="U4">
        <v>26141.923491739999</v>
      </c>
      <c r="V4"/>
      <c r="W4"/>
    </row>
    <row r="5" spans="1:23" s="4" customFormat="1" x14ac:dyDescent="0.35">
      <c r="A5" s="4" t="s">
        <v>120</v>
      </c>
      <c r="B5" s="4">
        <v>7009</v>
      </c>
      <c r="C5" s="4" t="s">
        <v>37</v>
      </c>
      <c r="D5" s="4" t="s">
        <v>30</v>
      </c>
      <c r="E5" s="4">
        <v>104.57</v>
      </c>
      <c r="F5" s="4">
        <v>82.95</v>
      </c>
      <c r="G5" s="4">
        <v>989</v>
      </c>
      <c r="H5" s="4">
        <v>960</v>
      </c>
      <c r="I5" s="4">
        <v>974.5</v>
      </c>
      <c r="J5" s="4" t="s">
        <v>24</v>
      </c>
      <c r="K5" s="4">
        <v>1973</v>
      </c>
      <c r="L5" s="4" t="s">
        <v>38</v>
      </c>
      <c r="M5" s="5">
        <v>1434</v>
      </c>
      <c r="N5" s="4" t="s">
        <v>39</v>
      </c>
      <c r="P5" s="4">
        <v>4.2</v>
      </c>
      <c r="R5" s="4">
        <v>2.4</v>
      </c>
      <c r="S5" s="4">
        <v>4.2</v>
      </c>
      <c r="T5">
        <v>42.034399999999998</v>
      </c>
      <c r="U5">
        <v>26141.865941119999</v>
      </c>
      <c r="V5"/>
      <c r="W5"/>
    </row>
    <row r="6" spans="1:23" s="4" customFormat="1" x14ac:dyDescent="0.35">
      <c r="A6" s="4" t="s">
        <v>121</v>
      </c>
      <c r="B6" s="4">
        <v>7095</v>
      </c>
      <c r="C6" s="4" t="s">
        <v>37</v>
      </c>
      <c r="D6" s="4" t="s">
        <v>30</v>
      </c>
      <c r="E6" s="4">
        <v>104.42</v>
      </c>
      <c r="F6" s="4">
        <v>82.95</v>
      </c>
      <c r="G6" s="4">
        <v>995</v>
      </c>
      <c r="H6" s="4">
        <v>940</v>
      </c>
      <c r="I6" s="4">
        <v>967.5</v>
      </c>
      <c r="J6" s="4" t="s">
        <v>24</v>
      </c>
      <c r="K6" s="4">
        <v>1974</v>
      </c>
      <c r="L6" s="4" t="s">
        <v>38</v>
      </c>
      <c r="M6" s="5">
        <v>1434</v>
      </c>
      <c r="N6" s="4" t="s">
        <v>39</v>
      </c>
      <c r="P6" s="4">
        <v>4.2</v>
      </c>
      <c r="R6" s="4">
        <v>2.4</v>
      </c>
      <c r="S6" s="4">
        <v>4.2</v>
      </c>
      <c r="T6">
        <v>127.83320000000001</v>
      </c>
      <c r="U6">
        <v>26141.9425362</v>
      </c>
      <c r="V6"/>
      <c r="W6"/>
    </row>
    <row r="7" spans="1:23" s="4" customFormat="1" x14ac:dyDescent="0.35">
      <c r="A7" s="4" t="s">
        <v>122</v>
      </c>
      <c r="B7" s="4">
        <v>7350</v>
      </c>
      <c r="C7" s="4" t="s">
        <v>37</v>
      </c>
      <c r="D7" s="4" t="s">
        <v>30</v>
      </c>
      <c r="E7" s="4">
        <v>104.5</v>
      </c>
      <c r="F7" s="4">
        <v>82.94</v>
      </c>
      <c r="G7" s="4">
        <v>983</v>
      </c>
      <c r="H7" s="4">
        <v>959</v>
      </c>
      <c r="I7" s="4">
        <v>971</v>
      </c>
      <c r="J7" s="4" t="s">
        <v>24</v>
      </c>
      <c r="K7" s="4">
        <v>1974</v>
      </c>
      <c r="L7" s="4" t="s">
        <v>38</v>
      </c>
      <c r="M7" s="5">
        <v>1434</v>
      </c>
      <c r="N7" s="4" t="s">
        <v>39</v>
      </c>
      <c r="P7" s="4">
        <v>4.2</v>
      </c>
      <c r="R7" s="4">
        <v>2.4</v>
      </c>
      <c r="S7" s="4">
        <v>4.2</v>
      </c>
      <c r="T7">
        <v>137.3279</v>
      </c>
      <c r="U7">
        <v>26141.948340710002</v>
      </c>
      <c r="V7"/>
      <c r="W7"/>
    </row>
    <row r="8" spans="1:23" s="4" customFormat="1" x14ac:dyDescent="0.35">
      <c r="A8" s="4" t="s">
        <v>123</v>
      </c>
      <c r="B8" s="4">
        <v>7477</v>
      </c>
      <c r="C8" s="4" t="s">
        <v>37</v>
      </c>
      <c r="D8" s="4" t="s">
        <v>30</v>
      </c>
      <c r="E8" s="4">
        <v>104.78</v>
      </c>
      <c r="F8" s="4">
        <v>82.94</v>
      </c>
      <c r="G8" s="4">
        <v>1010</v>
      </c>
      <c r="H8" s="4">
        <v>959</v>
      </c>
      <c r="I8" s="4">
        <v>984.5</v>
      </c>
      <c r="J8" s="4" t="s">
        <v>24</v>
      </c>
      <c r="K8" s="4">
        <v>1974</v>
      </c>
      <c r="L8" s="4" t="s">
        <v>38</v>
      </c>
      <c r="M8" s="5">
        <v>1434</v>
      </c>
      <c r="N8" s="4" t="s">
        <v>39</v>
      </c>
      <c r="P8" s="4">
        <v>4.2</v>
      </c>
      <c r="R8" s="4">
        <v>2.4</v>
      </c>
      <c r="S8" s="4">
        <v>4.2</v>
      </c>
      <c r="T8">
        <v>151.6515</v>
      </c>
      <c r="U8">
        <v>26141.968747579998</v>
      </c>
      <c r="V8"/>
      <c r="W8"/>
    </row>
    <row r="9" spans="1:23" s="4" customFormat="1" x14ac:dyDescent="0.35">
      <c r="A9" s="4" t="s">
        <v>124</v>
      </c>
      <c r="B9" s="4">
        <v>7594</v>
      </c>
      <c r="C9" s="4" t="s">
        <v>37</v>
      </c>
      <c r="D9" s="4" t="s">
        <v>30</v>
      </c>
      <c r="E9" s="4">
        <v>104.41</v>
      </c>
      <c r="F9" s="4">
        <v>82.95</v>
      </c>
      <c r="G9" s="4">
        <v>978</v>
      </c>
      <c r="H9" s="4">
        <v>956</v>
      </c>
      <c r="I9" s="4">
        <v>967</v>
      </c>
      <c r="J9" s="4" t="s">
        <v>24</v>
      </c>
      <c r="K9" s="4">
        <v>1974</v>
      </c>
      <c r="L9" s="4" t="s">
        <v>38</v>
      </c>
      <c r="M9" s="5">
        <v>1434</v>
      </c>
      <c r="N9" s="4" t="s">
        <v>39</v>
      </c>
      <c r="P9" s="4">
        <v>4.2</v>
      </c>
      <c r="R9" s="4">
        <v>2.4</v>
      </c>
      <c r="S9" s="4">
        <v>4.2</v>
      </c>
      <c r="T9">
        <v>18.0198</v>
      </c>
      <c r="U9">
        <v>26141.78026874</v>
      </c>
      <c r="V9"/>
      <c r="W9"/>
    </row>
    <row r="10" spans="1:23" s="4" customFormat="1" x14ac:dyDescent="0.35">
      <c r="A10" s="4" t="s">
        <v>125</v>
      </c>
      <c r="B10" s="4">
        <v>7737</v>
      </c>
      <c r="C10" s="4" t="s">
        <v>37</v>
      </c>
      <c r="D10" s="4" t="s">
        <v>30</v>
      </c>
      <c r="E10" s="4">
        <v>104.29</v>
      </c>
      <c r="F10" s="4">
        <v>83</v>
      </c>
      <c r="G10" s="4">
        <v>974</v>
      </c>
      <c r="H10" s="4">
        <v>948</v>
      </c>
      <c r="I10" s="4">
        <v>961</v>
      </c>
      <c r="J10" s="4" t="s">
        <v>24</v>
      </c>
      <c r="K10" s="4">
        <v>1975</v>
      </c>
      <c r="L10" s="4" t="s">
        <v>38</v>
      </c>
      <c r="M10" s="5">
        <v>1434</v>
      </c>
      <c r="N10" s="4" t="s">
        <v>39</v>
      </c>
      <c r="P10" s="4">
        <v>4.2</v>
      </c>
      <c r="R10" s="4">
        <v>2.4</v>
      </c>
      <c r="S10" s="4">
        <v>4.2</v>
      </c>
      <c r="T10"/>
      <c r="U10"/>
      <c r="V10"/>
      <c r="W10"/>
    </row>
    <row r="11" spans="1:23" s="4" customFormat="1" x14ac:dyDescent="0.35">
      <c r="A11" s="4" t="s">
        <v>126</v>
      </c>
      <c r="B11" s="4">
        <v>7769</v>
      </c>
      <c r="C11" s="4" t="s">
        <v>37</v>
      </c>
      <c r="D11" s="4" t="s">
        <v>30</v>
      </c>
      <c r="E11" s="4">
        <v>104.71</v>
      </c>
      <c r="F11" s="4">
        <v>82.96</v>
      </c>
      <c r="G11" s="4">
        <v>995</v>
      </c>
      <c r="H11" s="4">
        <v>967</v>
      </c>
      <c r="I11" s="4">
        <v>981</v>
      </c>
      <c r="J11" s="4" t="s">
        <v>24</v>
      </c>
      <c r="K11" s="4">
        <v>1975</v>
      </c>
      <c r="L11" s="4" t="s">
        <v>38</v>
      </c>
      <c r="M11" s="5">
        <v>1434</v>
      </c>
      <c r="N11" s="4" t="s">
        <v>39</v>
      </c>
      <c r="P11" s="4">
        <v>4.2</v>
      </c>
      <c r="R11" s="4">
        <v>2.4</v>
      </c>
      <c r="S11" s="4">
        <v>4.2</v>
      </c>
      <c r="T11">
        <v>114.0072</v>
      </c>
      <c r="U11">
        <v>26141.945062989998</v>
      </c>
      <c r="V11"/>
      <c r="W11"/>
    </row>
    <row r="12" spans="1:23" s="4" customFormat="1" x14ac:dyDescent="0.35">
      <c r="A12" s="4" t="s">
        <v>127</v>
      </c>
      <c r="B12" s="4">
        <v>8073</v>
      </c>
      <c r="C12" s="4" t="s">
        <v>37</v>
      </c>
      <c r="D12" s="4" t="s">
        <v>30</v>
      </c>
      <c r="E12" s="4">
        <v>104.63</v>
      </c>
      <c r="F12" s="4">
        <v>82.9</v>
      </c>
      <c r="G12" s="4">
        <v>994</v>
      </c>
      <c r="H12" s="4">
        <v>960</v>
      </c>
      <c r="I12" s="4">
        <v>977</v>
      </c>
      <c r="J12" s="4" t="s">
        <v>24</v>
      </c>
      <c r="K12" s="4">
        <v>1975</v>
      </c>
      <c r="L12" s="4" t="s">
        <v>38</v>
      </c>
      <c r="M12" s="5">
        <v>1434</v>
      </c>
      <c r="N12" s="4" t="s">
        <v>39</v>
      </c>
      <c r="P12" s="4">
        <v>4.2</v>
      </c>
      <c r="R12" s="4">
        <v>2.4</v>
      </c>
      <c r="S12" s="4">
        <v>4.2</v>
      </c>
      <c r="T12">
        <v>53.063000000000002</v>
      </c>
      <c r="U12">
        <v>26141.874079159999</v>
      </c>
      <c r="V12"/>
      <c r="W12"/>
    </row>
    <row r="13" spans="1:23" s="4" customFormat="1" x14ac:dyDescent="0.35">
      <c r="A13" s="4" t="s">
        <v>128</v>
      </c>
      <c r="B13" s="4">
        <v>8421</v>
      </c>
      <c r="C13" s="4" t="s">
        <v>37</v>
      </c>
      <c r="D13" s="4" t="s">
        <v>30</v>
      </c>
      <c r="E13" s="4">
        <v>104.57</v>
      </c>
      <c r="F13" s="4">
        <v>82.97</v>
      </c>
      <c r="G13" s="4">
        <v>992</v>
      </c>
      <c r="H13" s="4">
        <v>957</v>
      </c>
      <c r="I13" s="4">
        <v>974.5</v>
      </c>
      <c r="J13" s="4" t="s">
        <v>24</v>
      </c>
      <c r="K13" s="4">
        <v>1975</v>
      </c>
      <c r="L13" s="4" t="s">
        <v>38</v>
      </c>
      <c r="M13" s="5">
        <v>1434</v>
      </c>
      <c r="N13" s="4" t="s">
        <v>39</v>
      </c>
      <c r="P13" s="4">
        <v>4.2</v>
      </c>
      <c r="R13" s="4">
        <v>2.4</v>
      </c>
      <c r="S13" s="4">
        <v>4.2</v>
      </c>
      <c r="T13">
        <v>265.4787</v>
      </c>
      <c r="U13">
        <v>26141.875107150001</v>
      </c>
      <c r="V13"/>
      <c r="W13"/>
    </row>
    <row r="14" spans="1:23" s="4" customFormat="1" x14ac:dyDescent="0.35">
      <c r="A14" s="4" t="s">
        <v>129</v>
      </c>
      <c r="B14" s="4">
        <v>8597</v>
      </c>
      <c r="C14" s="4" t="s">
        <v>37</v>
      </c>
      <c r="D14" s="4" t="s">
        <v>30</v>
      </c>
      <c r="E14" s="4">
        <v>104.69</v>
      </c>
      <c r="F14" s="4">
        <v>82.97</v>
      </c>
      <c r="G14" s="4">
        <v>999</v>
      </c>
      <c r="H14" s="4">
        <v>961</v>
      </c>
      <c r="I14" s="4">
        <v>980</v>
      </c>
      <c r="J14" s="4" t="s">
        <v>24</v>
      </c>
      <c r="K14" s="4">
        <v>1976</v>
      </c>
      <c r="L14" s="4" t="s">
        <v>38</v>
      </c>
      <c r="M14" s="5">
        <v>1434</v>
      </c>
      <c r="N14" s="4" t="s">
        <v>39</v>
      </c>
      <c r="P14" s="4">
        <v>4.2</v>
      </c>
      <c r="R14" s="4">
        <v>2.4</v>
      </c>
      <c r="S14" s="4">
        <v>4.2</v>
      </c>
      <c r="T14">
        <v>178.85589999999999</v>
      </c>
      <c r="U14">
        <v>26141.583551309999</v>
      </c>
      <c r="V14"/>
      <c r="W14"/>
    </row>
    <row r="15" spans="1:23" s="4" customFormat="1" x14ac:dyDescent="0.35">
      <c r="A15" s="4" t="s">
        <v>130</v>
      </c>
      <c r="B15" s="4">
        <v>8646</v>
      </c>
      <c r="C15" s="4" t="s">
        <v>37</v>
      </c>
      <c r="D15" s="4" t="s">
        <v>30</v>
      </c>
      <c r="E15" s="4">
        <v>104.8</v>
      </c>
      <c r="F15" s="4">
        <v>82.97</v>
      </c>
      <c r="G15" s="4">
        <v>988</v>
      </c>
      <c r="H15" s="4">
        <v>982</v>
      </c>
      <c r="I15" s="4">
        <v>985</v>
      </c>
      <c r="J15" s="4" t="s">
        <v>24</v>
      </c>
      <c r="K15" s="4">
        <v>1976</v>
      </c>
      <c r="L15" s="4" t="s">
        <v>38</v>
      </c>
      <c r="M15" s="5">
        <v>1434</v>
      </c>
      <c r="N15" s="4" t="s">
        <v>39</v>
      </c>
      <c r="P15" s="4">
        <v>4.2</v>
      </c>
      <c r="R15" s="4">
        <v>2.4</v>
      </c>
      <c r="S15" s="4">
        <v>4.2</v>
      </c>
      <c r="T15">
        <v>90.360299999999995</v>
      </c>
      <c r="U15">
        <v>26141.920101079999</v>
      </c>
      <c r="V15"/>
      <c r="W15"/>
    </row>
    <row r="16" spans="1:23" s="4" customFormat="1" x14ac:dyDescent="0.35">
      <c r="A16" s="4" t="s">
        <v>131</v>
      </c>
      <c r="B16" s="4">
        <v>8874</v>
      </c>
      <c r="C16" s="4" t="s">
        <v>37</v>
      </c>
      <c r="D16" s="4" t="s">
        <v>30</v>
      </c>
      <c r="E16" s="4">
        <v>104.71</v>
      </c>
      <c r="F16" s="4">
        <v>82.96</v>
      </c>
      <c r="G16" s="4">
        <v>997</v>
      </c>
      <c r="H16" s="4">
        <v>964</v>
      </c>
      <c r="I16" s="4">
        <v>980.5</v>
      </c>
      <c r="J16" s="4" t="s">
        <v>24</v>
      </c>
      <c r="K16" s="4">
        <v>1976</v>
      </c>
      <c r="L16" s="4" t="s">
        <v>38</v>
      </c>
      <c r="M16" s="5">
        <v>1434</v>
      </c>
      <c r="N16" s="4" t="s">
        <v>39</v>
      </c>
      <c r="P16" s="4">
        <v>4.2</v>
      </c>
      <c r="R16" s="4">
        <v>2.4</v>
      </c>
      <c r="S16" s="4">
        <v>4.2</v>
      </c>
      <c r="T16">
        <v>113.7963</v>
      </c>
      <c r="U16">
        <v>26141.946083440002</v>
      </c>
      <c r="V16"/>
      <c r="W16"/>
    </row>
    <row r="17" spans="1:23" s="4" customFormat="1" x14ac:dyDescent="0.35">
      <c r="A17" s="4" t="s">
        <v>132</v>
      </c>
      <c r="B17" s="4">
        <v>9044</v>
      </c>
      <c r="C17" s="4" t="s">
        <v>37</v>
      </c>
      <c r="D17" s="4" t="s">
        <v>30</v>
      </c>
      <c r="E17" s="4">
        <v>104.62</v>
      </c>
      <c r="F17" s="4">
        <v>82.99</v>
      </c>
      <c r="G17" s="4">
        <v>986</v>
      </c>
      <c r="H17" s="4">
        <v>967</v>
      </c>
      <c r="I17" s="4">
        <v>976.5</v>
      </c>
      <c r="J17" s="4" t="s">
        <v>24</v>
      </c>
      <c r="K17" s="4">
        <v>1976</v>
      </c>
      <c r="L17" s="4" t="s">
        <v>38</v>
      </c>
      <c r="M17" s="5">
        <v>1434</v>
      </c>
      <c r="N17" s="4" t="s">
        <v>39</v>
      </c>
      <c r="P17" s="4">
        <v>4.2</v>
      </c>
      <c r="R17" s="4">
        <v>2.4</v>
      </c>
      <c r="S17" s="4">
        <v>4.2</v>
      </c>
      <c r="T17">
        <v>28.088999999999999</v>
      </c>
      <c r="U17">
        <v>26141.798173899999</v>
      </c>
      <c r="V17"/>
      <c r="W17"/>
    </row>
    <row r="18" spans="1:23" s="4" customFormat="1" x14ac:dyDescent="0.35">
      <c r="A18" s="4" t="s">
        <v>133</v>
      </c>
      <c r="B18" s="4">
        <v>9062</v>
      </c>
      <c r="C18" s="4" t="s">
        <v>37</v>
      </c>
      <c r="D18" s="4" t="s">
        <v>30</v>
      </c>
      <c r="E18" s="4">
        <v>104.44</v>
      </c>
      <c r="F18" s="4">
        <v>82.93</v>
      </c>
      <c r="G18" s="4">
        <v>990</v>
      </c>
      <c r="H18" s="4">
        <v>947</v>
      </c>
      <c r="I18" s="4">
        <v>968.5</v>
      </c>
      <c r="J18" s="4" t="s">
        <v>24</v>
      </c>
      <c r="K18" s="4">
        <v>1976</v>
      </c>
      <c r="L18" s="4" t="s">
        <v>38</v>
      </c>
      <c r="M18" s="5">
        <v>1434</v>
      </c>
      <c r="N18" s="4" t="s">
        <v>39</v>
      </c>
      <c r="P18" s="4">
        <v>4.2</v>
      </c>
      <c r="R18" s="4">
        <v>2.4</v>
      </c>
      <c r="S18" s="4">
        <v>4.2</v>
      </c>
      <c r="T18">
        <v>35.393300000000004</v>
      </c>
      <c r="U18">
        <v>26141.778443399999</v>
      </c>
      <c r="V18"/>
      <c r="W18"/>
    </row>
    <row r="19" spans="1:23" s="4" customFormat="1" x14ac:dyDescent="0.35">
      <c r="A19" s="4" t="s">
        <v>134</v>
      </c>
      <c r="B19" s="4">
        <v>9510</v>
      </c>
      <c r="C19" s="4" t="s">
        <v>37</v>
      </c>
      <c r="D19" s="4" t="s">
        <v>30</v>
      </c>
      <c r="E19" s="4">
        <v>104.51</v>
      </c>
      <c r="F19" s="4">
        <v>82.93</v>
      </c>
      <c r="G19" s="4">
        <v>992</v>
      </c>
      <c r="H19" s="4">
        <v>951</v>
      </c>
      <c r="I19" s="4">
        <v>971.5</v>
      </c>
      <c r="J19" s="4" t="s">
        <v>24</v>
      </c>
      <c r="K19" s="4">
        <v>1976</v>
      </c>
      <c r="L19" s="4" t="s">
        <v>38</v>
      </c>
      <c r="M19" s="5">
        <v>1434</v>
      </c>
      <c r="N19" s="4" t="s">
        <v>39</v>
      </c>
      <c r="P19" s="4">
        <v>4.2</v>
      </c>
      <c r="R19" s="4">
        <v>2.4</v>
      </c>
      <c r="S19" s="4">
        <v>4.2</v>
      </c>
      <c r="T19">
        <v>116.98009999999999</v>
      </c>
      <c r="U19">
        <v>26141.875256200001</v>
      </c>
      <c r="V19"/>
      <c r="W19"/>
    </row>
    <row r="20" spans="1:23" s="4" customFormat="1" x14ac:dyDescent="0.35">
      <c r="A20" s="4" t="s">
        <v>135</v>
      </c>
      <c r="B20" s="4">
        <v>9613</v>
      </c>
      <c r="C20" s="4" t="s">
        <v>37</v>
      </c>
      <c r="D20" s="4" t="s">
        <v>30</v>
      </c>
      <c r="E20" s="4">
        <v>104.52</v>
      </c>
      <c r="F20" s="4">
        <v>82.95</v>
      </c>
      <c r="G20" s="4">
        <v>994</v>
      </c>
      <c r="H20" s="4">
        <v>950</v>
      </c>
      <c r="I20" s="4">
        <v>972</v>
      </c>
      <c r="J20" s="4" t="s">
        <v>24</v>
      </c>
      <c r="K20" s="4">
        <v>1976</v>
      </c>
      <c r="L20" s="4" t="s">
        <v>38</v>
      </c>
      <c r="M20" s="5">
        <v>1434</v>
      </c>
      <c r="N20" s="4" t="s">
        <v>39</v>
      </c>
      <c r="P20" s="4">
        <v>4.2</v>
      </c>
      <c r="R20" s="4">
        <v>2.4</v>
      </c>
      <c r="S20" s="4">
        <v>4.2</v>
      </c>
      <c r="T20">
        <v>250.1575</v>
      </c>
      <c r="U20">
        <v>26141.837738329999</v>
      </c>
      <c r="V20"/>
      <c r="W20"/>
    </row>
    <row r="21" spans="1:23" s="4" customFormat="1" x14ac:dyDescent="0.35">
      <c r="A21" s="4" t="s">
        <v>136</v>
      </c>
      <c r="B21" s="4">
        <v>9638</v>
      </c>
      <c r="C21" s="4" t="s">
        <v>37</v>
      </c>
      <c r="D21" s="4" t="s">
        <v>30</v>
      </c>
      <c r="E21" s="4">
        <v>104.46</v>
      </c>
      <c r="F21" s="4">
        <v>82.94</v>
      </c>
      <c r="G21" s="4">
        <v>992</v>
      </c>
      <c r="H21" s="4">
        <v>946</v>
      </c>
      <c r="I21" s="4">
        <v>969</v>
      </c>
      <c r="J21" s="4" t="s">
        <v>24</v>
      </c>
      <c r="K21" s="4">
        <v>1976</v>
      </c>
      <c r="L21" s="4" t="s">
        <v>38</v>
      </c>
      <c r="M21" s="5">
        <v>1434</v>
      </c>
      <c r="N21" s="4" t="s">
        <v>39</v>
      </c>
      <c r="P21" s="4">
        <v>4.2</v>
      </c>
      <c r="R21" s="4">
        <v>2.4</v>
      </c>
      <c r="S21" s="4">
        <v>4.2</v>
      </c>
      <c r="T21">
        <v>132.41079999999999</v>
      </c>
      <c r="U21">
        <v>26141.935408379999</v>
      </c>
      <c r="V21"/>
      <c r="W21"/>
    </row>
    <row r="22" spans="1:23" s="4" customFormat="1" x14ac:dyDescent="0.35">
      <c r="A22" s="4" t="s">
        <v>137</v>
      </c>
      <c r="B22" s="4">
        <v>9738</v>
      </c>
      <c r="C22" s="4" t="s">
        <v>37</v>
      </c>
      <c r="D22" s="4" t="s">
        <v>30</v>
      </c>
      <c r="E22" s="4">
        <v>104.81</v>
      </c>
      <c r="F22" s="4">
        <v>82.96</v>
      </c>
      <c r="G22" s="4">
        <v>997</v>
      </c>
      <c r="H22" s="4">
        <v>974</v>
      </c>
      <c r="I22" s="4">
        <v>985.5</v>
      </c>
      <c r="J22" s="4" t="s">
        <v>24</v>
      </c>
      <c r="K22" s="4">
        <v>1977</v>
      </c>
      <c r="L22" s="4" t="s">
        <v>38</v>
      </c>
      <c r="M22" s="5">
        <v>1434</v>
      </c>
      <c r="N22" s="4" t="s">
        <v>39</v>
      </c>
      <c r="P22" s="4">
        <v>4.2</v>
      </c>
      <c r="R22" s="4">
        <v>2.4</v>
      </c>
      <c r="S22" s="4">
        <v>4.2</v>
      </c>
      <c r="T22">
        <v>139.3047</v>
      </c>
      <c r="U22">
        <v>26141.95264159</v>
      </c>
      <c r="V22"/>
      <c r="W22"/>
    </row>
    <row r="23" spans="1:23" s="4" customFormat="1" x14ac:dyDescent="0.35">
      <c r="A23" s="4" t="s">
        <v>138</v>
      </c>
      <c r="B23" s="4">
        <v>9848</v>
      </c>
      <c r="C23" s="4" t="s">
        <v>37</v>
      </c>
      <c r="D23" s="4" t="s">
        <v>30</v>
      </c>
      <c r="E23" s="4">
        <v>104.67</v>
      </c>
      <c r="F23" s="4">
        <v>82.95</v>
      </c>
      <c r="G23" s="4">
        <v>991</v>
      </c>
      <c r="H23" s="4">
        <v>967</v>
      </c>
      <c r="I23" s="4">
        <v>979</v>
      </c>
      <c r="J23" s="4" t="s">
        <v>24</v>
      </c>
      <c r="K23" s="4">
        <v>1977</v>
      </c>
      <c r="L23" s="4" t="s">
        <v>38</v>
      </c>
      <c r="M23" s="5">
        <v>1434</v>
      </c>
      <c r="N23" s="4" t="s">
        <v>39</v>
      </c>
      <c r="P23" s="4">
        <v>4.2</v>
      </c>
      <c r="R23" s="4">
        <v>2.4</v>
      </c>
      <c r="S23" s="4">
        <v>4.2</v>
      </c>
      <c r="T23">
        <v>91.1</v>
      </c>
      <c r="U23">
        <v>26141.894240170001</v>
      </c>
      <c r="V23"/>
      <c r="W23"/>
    </row>
    <row r="24" spans="1:23" s="4" customFormat="1" x14ac:dyDescent="0.35">
      <c r="A24" s="4" t="s">
        <v>139</v>
      </c>
      <c r="B24" s="4">
        <v>10020</v>
      </c>
      <c r="C24" s="4" t="s">
        <v>37</v>
      </c>
      <c r="D24" s="4" t="s">
        <v>30</v>
      </c>
      <c r="E24" s="4">
        <v>104.47</v>
      </c>
      <c r="F24" s="4">
        <v>82.94</v>
      </c>
      <c r="G24" s="4">
        <v>992</v>
      </c>
      <c r="H24" s="4">
        <v>947</v>
      </c>
      <c r="I24" s="4">
        <v>969.5</v>
      </c>
      <c r="J24" s="4" t="s">
        <v>24</v>
      </c>
      <c r="K24" s="4">
        <v>1977</v>
      </c>
      <c r="L24" s="4" t="s">
        <v>38</v>
      </c>
      <c r="M24" s="5">
        <v>1421.21</v>
      </c>
      <c r="N24" s="4" t="s">
        <v>39</v>
      </c>
      <c r="P24" s="4">
        <v>6.57</v>
      </c>
      <c r="R24" s="4">
        <v>2.4</v>
      </c>
      <c r="S24" s="4">
        <v>6.57</v>
      </c>
      <c r="T24">
        <v>96.075999999999993</v>
      </c>
      <c r="U24">
        <v>26141.895260000001</v>
      </c>
      <c r="V24"/>
      <c r="W24"/>
    </row>
    <row r="25" spans="1:23" s="4" customFormat="1" x14ac:dyDescent="0.35">
      <c r="A25" s="4" t="s">
        <v>140</v>
      </c>
      <c r="B25" s="4">
        <v>10138</v>
      </c>
      <c r="C25" s="4" t="s">
        <v>37</v>
      </c>
      <c r="D25" s="4" t="s">
        <v>30</v>
      </c>
      <c r="E25" s="4">
        <v>104.79</v>
      </c>
      <c r="F25" s="4">
        <v>82.94</v>
      </c>
      <c r="G25" s="4">
        <v>1000</v>
      </c>
      <c r="H25" s="4">
        <v>969</v>
      </c>
      <c r="I25" s="4">
        <v>984.5</v>
      </c>
      <c r="J25" s="4" t="s">
        <v>24</v>
      </c>
      <c r="K25" s="4">
        <v>1977</v>
      </c>
      <c r="L25" s="4" t="s">
        <v>38</v>
      </c>
      <c r="M25" s="5">
        <v>1421.21</v>
      </c>
      <c r="N25" s="4" t="s">
        <v>39</v>
      </c>
      <c r="P25" s="4">
        <v>6.57</v>
      </c>
      <c r="R25" s="4">
        <v>2.4</v>
      </c>
      <c r="S25" s="4">
        <v>6.57</v>
      </c>
      <c r="T25">
        <v>353.29160000000002</v>
      </c>
      <c r="U25">
        <v>26141.605382720001</v>
      </c>
      <c r="V25"/>
      <c r="W25"/>
    </row>
    <row r="26" spans="1:23" s="4" customFormat="1" x14ac:dyDescent="0.35">
      <c r="A26" s="4" t="s">
        <v>141</v>
      </c>
      <c r="B26" s="4">
        <v>10142</v>
      </c>
      <c r="C26" s="4" t="s">
        <v>37</v>
      </c>
      <c r="D26" s="4" t="s">
        <v>30</v>
      </c>
      <c r="E26" s="4">
        <v>104.43</v>
      </c>
      <c r="F26" s="4">
        <v>82.96</v>
      </c>
      <c r="G26" s="4">
        <v>998</v>
      </c>
      <c r="H26" s="4">
        <v>938</v>
      </c>
      <c r="I26" s="4">
        <v>968</v>
      </c>
      <c r="J26" s="4" t="s">
        <v>24</v>
      </c>
      <c r="K26" s="4">
        <v>1977</v>
      </c>
      <c r="L26" s="4" t="s">
        <v>38</v>
      </c>
      <c r="M26" s="5">
        <v>1421.21</v>
      </c>
      <c r="N26" s="4" t="s">
        <v>39</v>
      </c>
      <c r="P26" s="4">
        <v>6.57</v>
      </c>
      <c r="R26" s="4">
        <v>2.4</v>
      </c>
      <c r="S26" s="4">
        <v>6.57</v>
      </c>
      <c r="T26">
        <v>116.1748</v>
      </c>
      <c r="U26">
        <v>26141.932194509998</v>
      </c>
      <c r="V26"/>
      <c r="W26"/>
    </row>
    <row r="27" spans="1:23" s="4" customFormat="1" x14ac:dyDescent="0.35">
      <c r="A27" s="4" t="s">
        <v>142</v>
      </c>
      <c r="B27" s="4">
        <v>10355</v>
      </c>
      <c r="C27" s="4" t="s">
        <v>37</v>
      </c>
      <c r="D27" s="4" t="s">
        <v>30</v>
      </c>
      <c r="E27" s="4">
        <v>104.65</v>
      </c>
      <c r="F27" s="4">
        <v>82.97</v>
      </c>
      <c r="G27" s="4">
        <v>1002</v>
      </c>
      <c r="H27" s="4">
        <v>954</v>
      </c>
      <c r="I27" s="4">
        <v>978</v>
      </c>
      <c r="J27" s="4" t="s">
        <v>24</v>
      </c>
      <c r="K27" s="4">
        <v>1977</v>
      </c>
      <c r="L27" s="4" t="s">
        <v>38</v>
      </c>
      <c r="M27" s="5">
        <v>1421.21</v>
      </c>
      <c r="N27" s="4" t="s">
        <v>39</v>
      </c>
      <c r="P27" s="4">
        <v>6.57</v>
      </c>
      <c r="R27" s="4">
        <v>2.4</v>
      </c>
      <c r="S27" s="4">
        <v>6.57</v>
      </c>
      <c r="T27">
        <v>158.84440000000001</v>
      </c>
      <c r="U27">
        <v>26141.685751739999</v>
      </c>
      <c r="V27"/>
      <c r="W27"/>
    </row>
    <row r="28" spans="1:23" s="4" customFormat="1" x14ac:dyDescent="0.35">
      <c r="A28" s="4" t="s">
        <v>143</v>
      </c>
      <c r="B28" s="4">
        <v>10461</v>
      </c>
      <c r="C28" s="4" t="s">
        <v>37</v>
      </c>
      <c r="D28" s="4" t="s">
        <v>30</v>
      </c>
      <c r="E28" s="4">
        <v>104.56</v>
      </c>
      <c r="F28" s="4">
        <v>82.95</v>
      </c>
      <c r="G28" s="4">
        <v>1000</v>
      </c>
      <c r="H28" s="4">
        <v>949</v>
      </c>
      <c r="I28" s="4">
        <v>974.5</v>
      </c>
      <c r="J28" s="4" t="s">
        <v>24</v>
      </c>
      <c r="K28" s="4">
        <v>1977</v>
      </c>
      <c r="L28" s="4" t="s">
        <v>38</v>
      </c>
      <c r="M28" s="5">
        <v>1421.21</v>
      </c>
      <c r="N28" s="4" t="s">
        <v>39</v>
      </c>
      <c r="P28" s="4">
        <v>6.57</v>
      </c>
      <c r="R28" s="4">
        <v>2.4</v>
      </c>
      <c r="S28" s="4">
        <v>6.57</v>
      </c>
      <c r="T28">
        <v>112.3058</v>
      </c>
      <c r="U28">
        <v>26141.886964720001</v>
      </c>
      <c r="V28"/>
      <c r="W28"/>
    </row>
    <row r="29" spans="1:23" s="4" customFormat="1" x14ac:dyDescent="0.35">
      <c r="A29" s="4" t="s">
        <v>144</v>
      </c>
      <c r="B29" s="4">
        <v>10537</v>
      </c>
      <c r="C29" s="4" t="s">
        <v>37</v>
      </c>
      <c r="D29" s="4" t="s">
        <v>30</v>
      </c>
      <c r="E29" s="4">
        <v>104.69</v>
      </c>
      <c r="F29" s="4">
        <v>82.94</v>
      </c>
      <c r="G29" s="4">
        <v>994</v>
      </c>
      <c r="H29" s="4">
        <v>966</v>
      </c>
      <c r="I29" s="4">
        <v>980</v>
      </c>
      <c r="J29" s="4" t="s">
        <v>24</v>
      </c>
      <c r="K29" s="4">
        <v>1977</v>
      </c>
      <c r="L29" s="4" t="s">
        <v>38</v>
      </c>
      <c r="M29" s="5">
        <v>1421.21</v>
      </c>
      <c r="N29" s="4" t="s">
        <v>39</v>
      </c>
      <c r="P29" s="4">
        <v>6.57</v>
      </c>
      <c r="R29" s="4">
        <v>2.4</v>
      </c>
      <c r="S29" s="4">
        <v>6.57</v>
      </c>
      <c r="T29">
        <v>217.30160000000001</v>
      </c>
      <c r="U29">
        <v>26141.70672419</v>
      </c>
      <c r="V29"/>
      <c r="W29"/>
    </row>
    <row r="30" spans="1:23" s="4" customFormat="1" x14ac:dyDescent="0.35">
      <c r="A30" s="4" t="s">
        <v>145</v>
      </c>
      <c r="B30" s="4">
        <v>10600</v>
      </c>
      <c r="C30" s="4" t="s">
        <v>37</v>
      </c>
      <c r="D30" s="4" t="s">
        <v>30</v>
      </c>
      <c r="E30" s="4">
        <v>104.44</v>
      </c>
      <c r="F30" s="4">
        <v>82.94</v>
      </c>
      <c r="G30" s="4">
        <v>1003</v>
      </c>
      <c r="H30" s="4">
        <v>933</v>
      </c>
      <c r="I30" s="4">
        <v>968</v>
      </c>
      <c r="J30" s="4" t="s">
        <v>24</v>
      </c>
      <c r="K30" s="4">
        <v>1978</v>
      </c>
      <c r="L30" s="4" t="s">
        <v>38</v>
      </c>
      <c r="M30" s="5">
        <v>1421.21</v>
      </c>
      <c r="N30" s="4" t="s">
        <v>39</v>
      </c>
      <c r="P30" s="4">
        <v>6.57</v>
      </c>
      <c r="R30" s="4">
        <v>2.4</v>
      </c>
      <c r="S30" s="4">
        <v>6.57</v>
      </c>
      <c r="T30">
        <v>8.6478999999999999</v>
      </c>
      <c r="U30">
        <v>26141.752475540001</v>
      </c>
      <c r="V30"/>
      <c r="W30"/>
    </row>
    <row r="31" spans="1:23" s="4" customFormat="1" x14ac:dyDescent="0.35">
      <c r="A31" s="4" t="s">
        <v>146</v>
      </c>
      <c r="B31" s="4">
        <v>10693</v>
      </c>
      <c r="C31" s="4" t="s">
        <v>37</v>
      </c>
      <c r="D31" s="4" t="s">
        <v>30</v>
      </c>
      <c r="E31" s="4">
        <v>104.52</v>
      </c>
      <c r="F31" s="4">
        <v>82.99</v>
      </c>
      <c r="G31" s="4">
        <v>987</v>
      </c>
      <c r="H31" s="4">
        <v>957</v>
      </c>
      <c r="I31" s="4">
        <v>972</v>
      </c>
      <c r="J31" s="4" t="s">
        <v>24</v>
      </c>
      <c r="K31" s="4">
        <v>1978</v>
      </c>
      <c r="L31" s="4" t="s">
        <v>38</v>
      </c>
      <c r="M31" s="5">
        <v>1421.21</v>
      </c>
      <c r="N31" s="4" t="s">
        <v>39</v>
      </c>
      <c r="P31" s="4">
        <v>6.57</v>
      </c>
      <c r="R31" s="4">
        <v>2.4</v>
      </c>
      <c r="S31" s="4">
        <v>6.57</v>
      </c>
      <c r="T31">
        <v>241.12649999999999</v>
      </c>
      <c r="U31">
        <v>26141.798643919999</v>
      </c>
      <c r="V31"/>
      <c r="W31"/>
    </row>
    <row r="32" spans="1:23" s="4" customFormat="1" x14ac:dyDescent="0.35">
      <c r="A32" s="4" t="s">
        <v>147</v>
      </c>
      <c r="B32" s="4">
        <v>10732</v>
      </c>
      <c r="C32" s="4" t="s">
        <v>37</v>
      </c>
      <c r="D32" s="4" t="s">
        <v>30</v>
      </c>
      <c r="E32" s="4">
        <v>104.68</v>
      </c>
      <c r="F32" s="4">
        <v>82.94</v>
      </c>
      <c r="G32" s="4">
        <v>994</v>
      </c>
      <c r="H32" s="4">
        <v>965</v>
      </c>
      <c r="I32" s="4">
        <v>979.5</v>
      </c>
      <c r="J32" s="4" t="s">
        <v>24</v>
      </c>
      <c r="K32" s="4">
        <v>1978</v>
      </c>
      <c r="L32" s="4" t="s">
        <v>38</v>
      </c>
      <c r="M32" s="5">
        <v>1421.21</v>
      </c>
      <c r="N32" s="4" t="s">
        <v>39</v>
      </c>
      <c r="P32" s="4">
        <v>6.57</v>
      </c>
      <c r="R32" s="4">
        <v>2.4</v>
      </c>
      <c r="S32" s="4">
        <v>6.57</v>
      </c>
      <c r="T32">
        <v>350.1234</v>
      </c>
      <c r="U32">
        <v>26141.951030979999</v>
      </c>
      <c r="V32"/>
      <c r="W32"/>
    </row>
    <row r="33" spans="1:23" s="4" customFormat="1" x14ac:dyDescent="0.35">
      <c r="A33" s="4" t="s">
        <v>148</v>
      </c>
      <c r="B33" s="4">
        <v>10745</v>
      </c>
      <c r="C33" s="4" t="s">
        <v>37</v>
      </c>
      <c r="D33" s="4" t="s">
        <v>30</v>
      </c>
      <c r="E33" s="4">
        <v>104.43</v>
      </c>
      <c r="F33" s="4">
        <v>82.92</v>
      </c>
      <c r="G33" s="4">
        <v>994</v>
      </c>
      <c r="H33" s="4">
        <v>942</v>
      </c>
      <c r="I33" s="4">
        <v>968</v>
      </c>
      <c r="J33" s="4" t="s">
        <v>24</v>
      </c>
      <c r="K33" s="4">
        <v>1978</v>
      </c>
      <c r="L33" s="4" t="s">
        <v>38</v>
      </c>
      <c r="M33" s="5">
        <v>1421.21</v>
      </c>
      <c r="N33" s="4" t="s">
        <v>39</v>
      </c>
      <c r="P33" s="4">
        <v>6.57</v>
      </c>
      <c r="R33" s="4">
        <v>2.4</v>
      </c>
      <c r="S33" s="4">
        <v>6.57</v>
      </c>
      <c r="T33">
        <v>76.634100000000004</v>
      </c>
      <c r="U33">
        <v>26141.888183470001</v>
      </c>
      <c r="V33"/>
      <c r="W33"/>
    </row>
    <row r="34" spans="1:23" s="4" customFormat="1" x14ac:dyDescent="0.35">
      <c r="A34" s="4" t="s">
        <v>149</v>
      </c>
      <c r="B34" s="4">
        <v>10777</v>
      </c>
      <c r="C34" s="4" t="s">
        <v>37</v>
      </c>
      <c r="D34" s="4" t="s">
        <v>30</v>
      </c>
      <c r="E34" s="4">
        <v>104.52</v>
      </c>
      <c r="F34" s="4">
        <v>82.94</v>
      </c>
      <c r="G34" s="4">
        <v>992</v>
      </c>
      <c r="H34" s="4">
        <v>952</v>
      </c>
      <c r="I34" s="4">
        <v>972</v>
      </c>
      <c r="J34" s="4" t="s">
        <v>24</v>
      </c>
      <c r="K34" s="4">
        <v>1978</v>
      </c>
      <c r="L34" s="4" t="s">
        <v>38</v>
      </c>
      <c r="M34" s="5">
        <v>1421.21</v>
      </c>
      <c r="N34" s="4" t="s">
        <v>39</v>
      </c>
      <c r="P34" s="4">
        <v>6.57</v>
      </c>
      <c r="R34" s="4">
        <v>2.4</v>
      </c>
      <c r="S34" s="4">
        <v>6.57</v>
      </c>
      <c r="T34">
        <v>324.81389999999999</v>
      </c>
      <c r="U34">
        <v>26141.9588195</v>
      </c>
      <c r="V34"/>
      <c r="W34"/>
    </row>
    <row r="35" spans="1:23" s="4" customFormat="1" x14ac:dyDescent="0.35">
      <c r="A35" s="4" t="s">
        <v>150</v>
      </c>
      <c r="B35" s="4">
        <v>10918</v>
      </c>
      <c r="C35" s="4" t="s">
        <v>37</v>
      </c>
      <c r="D35" s="4" t="s">
        <v>30</v>
      </c>
      <c r="E35" s="4">
        <v>104.53</v>
      </c>
      <c r="F35" s="4">
        <v>82.92</v>
      </c>
      <c r="G35" s="4">
        <v>994</v>
      </c>
      <c r="H35" s="4">
        <v>951</v>
      </c>
      <c r="I35" s="4">
        <v>972.5</v>
      </c>
      <c r="J35" s="4" t="s">
        <v>24</v>
      </c>
      <c r="K35" s="4">
        <v>1978</v>
      </c>
      <c r="L35" s="4" t="s">
        <v>38</v>
      </c>
      <c r="M35" s="5">
        <v>1421.21</v>
      </c>
      <c r="N35" s="4" t="s">
        <v>39</v>
      </c>
      <c r="P35" s="4">
        <v>6.57</v>
      </c>
      <c r="R35" s="4">
        <v>2.4</v>
      </c>
      <c r="S35" s="4">
        <v>6.57</v>
      </c>
      <c r="T35">
        <v>53.277099999999997</v>
      </c>
      <c r="U35">
        <v>26141.770849420001</v>
      </c>
      <c r="V35"/>
      <c r="W35"/>
    </row>
    <row r="36" spans="1:23" s="4" customFormat="1" x14ac:dyDescent="0.35">
      <c r="A36" s="4" t="s">
        <v>151</v>
      </c>
      <c r="B36" s="4">
        <v>10992</v>
      </c>
      <c r="C36" s="4" t="s">
        <v>37</v>
      </c>
      <c r="D36" s="4" t="s">
        <v>30</v>
      </c>
      <c r="E36" s="4">
        <v>104.48</v>
      </c>
      <c r="F36" s="4">
        <v>82.94</v>
      </c>
      <c r="G36" s="4">
        <v>985</v>
      </c>
      <c r="H36" s="4">
        <v>956</v>
      </c>
      <c r="I36" s="4">
        <v>970.5</v>
      </c>
      <c r="J36" s="4" t="s">
        <v>24</v>
      </c>
      <c r="K36" s="4">
        <v>1978</v>
      </c>
      <c r="L36" s="4" t="s">
        <v>38</v>
      </c>
      <c r="M36" s="5">
        <v>1421.21</v>
      </c>
      <c r="N36" s="4" t="s">
        <v>39</v>
      </c>
      <c r="P36" s="4">
        <v>6.57</v>
      </c>
      <c r="R36" s="4">
        <v>2.4</v>
      </c>
      <c r="S36" s="4">
        <v>6.57</v>
      </c>
      <c r="T36">
        <v>3.8849</v>
      </c>
      <c r="U36">
        <v>26141.737317160001</v>
      </c>
      <c r="V36"/>
      <c r="W36"/>
    </row>
    <row r="37" spans="1:23" s="4" customFormat="1" x14ac:dyDescent="0.35">
      <c r="A37" s="4" t="s">
        <v>152</v>
      </c>
      <c r="B37" s="4">
        <v>11239</v>
      </c>
      <c r="C37" s="4" t="s">
        <v>37</v>
      </c>
      <c r="D37" s="4" t="s">
        <v>30</v>
      </c>
      <c r="E37" s="4">
        <v>104.64</v>
      </c>
      <c r="F37" s="4">
        <v>82.94</v>
      </c>
      <c r="G37" s="4">
        <v>1007</v>
      </c>
      <c r="H37" s="4">
        <v>948</v>
      </c>
      <c r="I37" s="4">
        <v>977.5</v>
      </c>
      <c r="J37" s="4" t="s">
        <v>24</v>
      </c>
      <c r="K37" s="4">
        <v>1979</v>
      </c>
      <c r="L37" s="4" t="s">
        <v>38</v>
      </c>
      <c r="M37" s="5">
        <v>1421.21</v>
      </c>
      <c r="N37" s="4" t="s">
        <v>39</v>
      </c>
      <c r="P37" s="4">
        <v>6.57</v>
      </c>
      <c r="R37" s="4">
        <v>2.4</v>
      </c>
      <c r="S37" s="4">
        <v>6.57</v>
      </c>
      <c r="T37">
        <v>188.23849999999999</v>
      </c>
      <c r="U37">
        <v>26141.422524109999</v>
      </c>
      <c r="V37"/>
      <c r="W37"/>
    </row>
    <row r="38" spans="1:23" s="4" customFormat="1" x14ac:dyDescent="0.35">
      <c r="A38" s="4" t="s">
        <v>153</v>
      </c>
      <c r="B38" s="4">
        <v>11309</v>
      </c>
      <c r="C38" s="4" t="s">
        <v>37</v>
      </c>
      <c r="D38" s="4" t="s">
        <v>30</v>
      </c>
      <c r="E38" s="4">
        <v>104.53</v>
      </c>
      <c r="F38" s="4">
        <v>82.97</v>
      </c>
      <c r="G38" s="4">
        <v>987</v>
      </c>
      <c r="H38" s="4">
        <v>959</v>
      </c>
      <c r="I38" s="4">
        <v>973</v>
      </c>
      <c r="J38" s="4" t="s">
        <v>24</v>
      </c>
      <c r="K38" s="4">
        <v>1979</v>
      </c>
      <c r="L38" s="4" t="s">
        <v>38</v>
      </c>
      <c r="M38" s="5">
        <v>1421.21</v>
      </c>
      <c r="N38" s="4" t="s">
        <v>39</v>
      </c>
      <c r="P38" s="4">
        <v>6.57</v>
      </c>
      <c r="R38" s="4">
        <v>2.4</v>
      </c>
      <c r="S38" s="4">
        <v>6.57</v>
      </c>
      <c r="T38">
        <v>130.53980000000001</v>
      </c>
      <c r="U38">
        <v>26141.917136650001</v>
      </c>
      <c r="V38"/>
      <c r="W38"/>
    </row>
    <row r="39" spans="1:23" s="4" customFormat="1" x14ac:dyDescent="0.35">
      <c r="A39" s="4" t="s">
        <v>154</v>
      </c>
      <c r="B39" s="4">
        <v>11321</v>
      </c>
      <c r="C39" s="4" t="s">
        <v>37</v>
      </c>
      <c r="D39" s="4" t="s">
        <v>30</v>
      </c>
      <c r="E39" s="4">
        <v>104.59</v>
      </c>
      <c r="F39" s="4">
        <v>82.92</v>
      </c>
      <c r="G39" s="4">
        <v>990</v>
      </c>
      <c r="H39" s="4">
        <v>961</v>
      </c>
      <c r="I39" s="4">
        <v>975.5</v>
      </c>
      <c r="J39" s="4" t="s">
        <v>24</v>
      </c>
      <c r="K39" s="4">
        <v>1979</v>
      </c>
      <c r="L39" s="4" t="s">
        <v>38</v>
      </c>
      <c r="M39" s="5">
        <v>1421.21</v>
      </c>
      <c r="N39" s="4" t="s">
        <v>39</v>
      </c>
      <c r="P39" s="4">
        <v>6.57</v>
      </c>
      <c r="R39" s="4">
        <v>2.4</v>
      </c>
      <c r="S39" s="4">
        <v>6.57</v>
      </c>
      <c r="T39">
        <v>113.84</v>
      </c>
      <c r="U39">
        <v>26141.957858310001</v>
      </c>
      <c r="V39"/>
      <c r="W39"/>
    </row>
    <row r="40" spans="1:23" s="4" customFormat="1" x14ac:dyDescent="0.35">
      <c r="A40" s="4" t="s">
        <v>155</v>
      </c>
      <c r="B40" s="4">
        <v>11327</v>
      </c>
      <c r="C40" s="4" t="s">
        <v>37</v>
      </c>
      <c r="D40" s="4" t="s">
        <v>30</v>
      </c>
      <c r="E40" s="4">
        <v>104.56</v>
      </c>
      <c r="F40" s="4">
        <v>82.95</v>
      </c>
      <c r="G40" s="4">
        <v>995</v>
      </c>
      <c r="H40" s="4">
        <v>952</v>
      </c>
      <c r="I40" s="4">
        <v>973.5</v>
      </c>
      <c r="J40" s="4" t="s">
        <v>24</v>
      </c>
      <c r="K40" s="4">
        <v>1979</v>
      </c>
      <c r="L40" s="4" t="s">
        <v>38</v>
      </c>
      <c r="M40" s="5">
        <v>1421.21</v>
      </c>
      <c r="N40" s="4" t="s">
        <v>39</v>
      </c>
      <c r="P40" s="4">
        <v>6.57</v>
      </c>
      <c r="R40" s="4">
        <v>2.4</v>
      </c>
      <c r="S40" s="4">
        <v>6.57</v>
      </c>
      <c r="T40">
        <v>34.692399999999999</v>
      </c>
      <c r="U40">
        <v>26141.844669859998</v>
      </c>
      <c r="V40"/>
      <c r="W40"/>
    </row>
    <row r="41" spans="1:23" s="4" customFormat="1" x14ac:dyDescent="0.35">
      <c r="A41" s="4" t="s">
        <v>156</v>
      </c>
      <c r="B41" s="4">
        <v>11379</v>
      </c>
      <c r="C41" s="4" t="s">
        <v>37</v>
      </c>
      <c r="D41" s="4" t="s">
        <v>30</v>
      </c>
      <c r="E41" s="4">
        <v>104.52</v>
      </c>
      <c r="F41" s="4">
        <v>82.95</v>
      </c>
      <c r="G41" s="4">
        <v>988</v>
      </c>
      <c r="H41" s="4">
        <v>955</v>
      </c>
      <c r="I41" s="4">
        <v>971.5</v>
      </c>
      <c r="J41" s="4" t="s">
        <v>24</v>
      </c>
      <c r="K41" s="4">
        <v>1979</v>
      </c>
      <c r="L41" s="4" t="s">
        <v>38</v>
      </c>
      <c r="M41" s="5">
        <v>1421.21</v>
      </c>
      <c r="N41" s="4" t="s">
        <v>39</v>
      </c>
      <c r="P41" s="4">
        <v>6.57</v>
      </c>
      <c r="R41" s="4">
        <v>2.4</v>
      </c>
      <c r="S41" s="4">
        <v>6.57</v>
      </c>
      <c r="T41">
        <v>42.6922</v>
      </c>
      <c r="U41">
        <v>26141.780754110001</v>
      </c>
      <c r="V41"/>
      <c r="W41"/>
    </row>
    <row r="42" spans="1:23" s="4" customFormat="1" x14ac:dyDescent="0.35">
      <c r="A42" s="4" t="s">
        <v>157</v>
      </c>
      <c r="B42" s="4">
        <v>11586</v>
      </c>
      <c r="C42" s="4" t="s">
        <v>37</v>
      </c>
      <c r="D42" s="4" t="s">
        <v>30</v>
      </c>
      <c r="E42" s="4">
        <v>104.4</v>
      </c>
      <c r="F42" s="4">
        <v>82.95</v>
      </c>
      <c r="G42" s="4">
        <v>987</v>
      </c>
      <c r="H42" s="4">
        <v>945</v>
      </c>
      <c r="I42" s="4">
        <v>966</v>
      </c>
      <c r="J42" s="4" t="s">
        <v>24</v>
      </c>
      <c r="K42" s="4">
        <v>1979</v>
      </c>
      <c r="L42" s="4" t="s">
        <v>38</v>
      </c>
      <c r="M42" s="5">
        <v>1421.21</v>
      </c>
      <c r="N42" s="4" t="s">
        <v>39</v>
      </c>
      <c r="P42" s="4">
        <v>6.57</v>
      </c>
      <c r="R42" s="4">
        <v>2.4</v>
      </c>
      <c r="S42" s="4">
        <v>6.57</v>
      </c>
      <c r="T42">
        <v>161.66800000000001</v>
      </c>
      <c r="U42">
        <v>26141.573782809999</v>
      </c>
      <c r="V42"/>
      <c r="W42"/>
    </row>
    <row r="43" spans="1:23" s="4" customFormat="1" x14ac:dyDescent="0.35">
      <c r="A43" s="4" t="s">
        <v>158</v>
      </c>
      <c r="B43" s="4">
        <v>11668</v>
      </c>
      <c r="C43" s="4" t="s">
        <v>37</v>
      </c>
      <c r="D43" s="4" t="s">
        <v>30</v>
      </c>
      <c r="E43" s="4">
        <v>104.66</v>
      </c>
      <c r="F43" s="4">
        <v>82.95</v>
      </c>
      <c r="G43" s="4">
        <v>993</v>
      </c>
      <c r="H43" s="4">
        <v>963</v>
      </c>
      <c r="I43" s="4">
        <v>978</v>
      </c>
      <c r="J43" s="4" t="s">
        <v>24</v>
      </c>
      <c r="K43" s="4">
        <v>1980</v>
      </c>
      <c r="L43" s="4" t="s">
        <v>38</v>
      </c>
      <c r="M43" s="5">
        <v>1421.21</v>
      </c>
      <c r="N43" s="4" t="s">
        <v>39</v>
      </c>
      <c r="P43" s="4">
        <v>6.57</v>
      </c>
      <c r="R43" s="4">
        <v>2.4</v>
      </c>
      <c r="S43" s="4">
        <v>6.57</v>
      </c>
      <c r="T43">
        <v>149.75980000000001</v>
      </c>
      <c r="U43">
        <v>26141.483015090002</v>
      </c>
      <c r="V43"/>
      <c r="W43"/>
    </row>
    <row r="44" spans="1:23" s="4" customFormat="1" x14ac:dyDescent="0.35">
      <c r="A44" s="4" t="s">
        <v>159</v>
      </c>
      <c r="B44" s="4">
        <v>11681</v>
      </c>
      <c r="C44" s="4" t="s">
        <v>37</v>
      </c>
      <c r="D44" s="4" t="s">
        <v>30</v>
      </c>
      <c r="E44" s="4">
        <v>104.67</v>
      </c>
      <c r="F44" s="4">
        <v>82.93</v>
      </c>
      <c r="G44" s="4">
        <v>1005</v>
      </c>
      <c r="H44" s="4">
        <v>954</v>
      </c>
      <c r="I44" s="4">
        <v>979.5</v>
      </c>
      <c r="J44" s="4" t="s">
        <v>24</v>
      </c>
      <c r="K44" s="4">
        <v>1980</v>
      </c>
      <c r="L44" s="4" t="s">
        <v>38</v>
      </c>
      <c r="M44" s="5">
        <v>1421.21</v>
      </c>
      <c r="N44" s="4" t="s">
        <v>39</v>
      </c>
      <c r="P44" s="4">
        <v>6.57</v>
      </c>
      <c r="R44" s="4">
        <v>2.4</v>
      </c>
      <c r="S44" s="4">
        <v>6.57</v>
      </c>
      <c r="T44">
        <v>153.1875</v>
      </c>
      <c r="U44">
        <v>26141.568002339998</v>
      </c>
      <c r="V44"/>
      <c r="W44"/>
    </row>
    <row r="45" spans="1:23" s="4" customFormat="1" x14ac:dyDescent="0.35">
      <c r="A45" s="4" t="s">
        <v>160</v>
      </c>
      <c r="B45" s="4">
        <v>11736</v>
      </c>
      <c r="C45" s="4" t="s">
        <v>37</v>
      </c>
      <c r="D45" s="4" t="s">
        <v>30</v>
      </c>
      <c r="E45" s="4">
        <v>104.59</v>
      </c>
      <c r="F45" s="4">
        <v>82.94</v>
      </c>
      <c r="G45" s="4">
        <v>1000</v>
      </c>
      <c r="H45" s="4">
        <v>951</v>
      </c>
      <c r="I45" s="4">
        <v>975.5</v>
      </c>
      <c r="J45" s="4" t="s">
        <v>24</v>
      </c>
      <c r="K45" s="4">
        <v>1980</v>
      </c>
      <c r="L45" s="4" t="s">
        <v>38</v>
      </c>
      <c r="M45" s="5">
        <v>1421.21</v>
      </c>
      <c r="N45" s="4" t="s">
        <v>39</v>
      </c>
      <c r="P45" s="4">
        <v>6.57</v>
      </c>
      <c r="R45" s="4">
        <v>2.4</v>
      </c>
      <c r="S45" s="4">
        <v>6.57</v>
      </c>
      <c r="T45">
        <v>256.54399999999998</v>
      </c>
      <c r="U45">
        <v>26141.84678824</v>
      </c>
      <c r="V45"/>
      <c r="W45"/>
    </row>
    <row r="46" spans="1:23" s="4" customFormat="1" x14ac:dyDescent="0.35">
      <c r="A46" s="4" t="s">
        <v>161</v>
      </c>
      <c r="B46" s="4">
        <v>11804</v>
      </c>
      <c r="C46" s="4" t="s">
        <v>37</v>
      </c>
      <c r="D46" s="4" t="s">
        <v>30</v>
      </c>
      <c r="E46" s="4">
        <v>104.61</v>
      </c>
      <c r="F46" s="4">
        <v>82.95</v>
      </c>
      <c r="G46" s="4">
        <v>992</v>
      </c>
      <c r="H46" s="4">
        <v>960</v>
      </c>
      <c r="I46" s="4">
        <v>976</v>
      </c>
      <c r="J46" s="4" t="s">
        <v>24</v>
      </c>
      <c r="K46" s="4">
        <v>1980</v>
      </c>
      <c r="L46" s="4" t="s">
        <v>38</v>
      </c>
      <c r="M46" s="5">
        <v>1421.21</v>
      </c>
      <c r="N46" s="4" t="s">
        <v>39</v>
      </c>
      <c r="P46" s="4">
        <v>6.57</v>
      </c>
      <c r="R46" s="4">
        <v>2.4</v>
      </c>
      <c r="S46" s="4">
        <v>6.57</v>
      </c>
      <c r="T46">
        <v>190.7749</v>
      </c>
      <c r="U46">
        <v>26141.39142326</v>
      </c>
      <c r="V46"/>
      <c r="W46"/>
    </row>
    <row r="47" spans="1:23" s="4" customFormat="1" x14ac:dyDescent="0.35">
      <c r="A47" s="4" t="s">
        <v>162</v>
      </c>
      <c r="B47" s="4">
        <v>12088</v>
      </c>
      <c r="C47" s="4" t="s">
        <v>37</v>
      </c>
      <c r="D47" s="4" t="s">
        <v>30</v>
      </c>
      <c r="E47" s="4">
        <v>104.55</v>
      </c>
      <c r="F47" s="4">
        <v>82.94</v>
      </c>
      <c r="G47" s="4">
        <v>1009</v>
      </c>
      <c r="H47" s="4">
        <v>938</v>
      </c>
      <c r="I47" s="4">
        <v>973.5</v>
      </c>
      <c r="J47" s="4" t="s">
        <v>24</v>
      </c>
      <c r="K47" s="4">
        <v>1980</v>
      </c>
      <c r="L47" s="4" t="s">
        <v>38</v>
      </c>
      <c r="M47" s="5">
        <v>1421.21</v>
      </c>
      <c r="N47" s="4" t="s">
        <v>39</v>
      </c>
      <c r="P47" s="4">
        <v>6.57</v>
      </c>
      <c r="R47" s="4">
        <v>2.4</v>
      </c>
      <c r="S47" s="4">
        <v>6.57</v>
      </c>
      <c r="T47">
        <v>78.281599999999997</v>
      </c>
      <c r="U47">
        <v>26141.87515326</v>
      </c>
      <c r="V47"/>
      <c r="W47"/>
    </row>
    <row r="48" spans="1:23" s="4" customFormat="1" x14ac:dyDescent="0.35">
      <c r="A48" s="4" t="s">
        <v>163</v>
      </c>
      <c r="B48" s="4">
        <v>12092</v>
      </c>
      <c r="C48" s="4" t="s">
        <v>37</v>
      </c>
      <c r="D48" s="4" t="s">
        <v>30</v>
      </c>
      <c r="E48" s="4">
        <v>104.55</v>
      </c>
      <c r="F48" s="4">
        <v>82.94</v>
      </c>
      <c r="G48" s="4">
        <v>996</v>
      </c>
      <c r="H48" s="4">
        <v>951</v>
      </c>
      <c r="I48" s="4">
        <v>973.5</v>
      </c>
      <c r="J48" s="4" t="s">
        <v>24</v>
      </c>
      <c r="K48" s="4">
        <v>1980</v>
      </c>
      <c r="L48" s="4" t="s">
        <v>38</v>
      </c>
      <c r="M48" s="5">
        <v>1421.21</v>
      </c>
      <c r="N48" s="4" t="s">
        <v>39</v>
      </c>
      <c r="P48" s="4">
        <v>6.57</v>
      </c>
      <c r="R48" s="4">
        <v>2.4</v>
      </c>
      <c r="S48" s="4">
        <v>6.57</v>
      </c>
      <c r="T48">
        <v>339.46559999999999</v>
      </c>
      <c r="U48">
        <v>26141.92825845</v>
      </c>
      <c r="V48"/>
      <c r="W48"/>
    </row>
    <row r="49" spans="1:23" s="4" customFormat="1" x14ac:dyDescent="0.35">
      <c r="A49" s="4" t="s">
        <v>164</v>
      </c>
      <c r="B49" s="4">
        <v>12298</v>
      </c>
      <c r="C49" s="4" t="s">
        <v>37</v>
      </c>
      <c r="D49" s="4" t="s">
        <v>30</v>
      </c>
      <c r="E49" s="4">
        <v>104.58</v>
      </c>
      <c r="F49" s="4">
        <v>82.95</v>
      </c>
      <c r="G49" s="4">
        <v>997</v>
      </c>
      <c r="H49" s="4">
        <v>953</v>
      </c>
      <c r="I49" s="4">
        <v>975</v>
      </c>
      <c r="J49" s="4" t="s">
        <v>24</v>
      </c>
      <c r="K49" s="4">
        <v>1981</v>
      </c>
      <c r="L49" s="4" t="s">
        <v>38</v>
      </c>
      <c r="M49" s="5">
        <v>1421.21</v>
      </c>
      <c r="N49" s="4" t="s">
        <v>39</v>
      </c>
      <c r="P49" s="4">
        <v>6.57</v>
      </c>
      <c r="R49" s="4">
        <v>2.4</v>
      </c>
      <c r="S49" s="4">
        <v>6.57</v>
      </c>
      <c r="T49">
        <v>68.468599999999995</v>
      </c>
      <c r="U49">
        <v>26141.934036719998</v>
      </c>
      <c r="V49"/>
      <c r="W49"/>
    </row>
    <row r="50" spans="1:23" s="4" customFormat="1" x14ac:dyDescent="0.35">
      <c r="A50" s="4" t="s">
        <v>165</v>
      </c>
      <c r="B50" s="4">
        <v>12508</v>
      </c>
      <c r="C50" s="4" t="s">
        <v>37</v>
      </c>
      <c r="D50" s="4" t="s">
        <v>30</v>
      </c>
      <c r="E50" s="4">
        <v>104.6</v>
      </c>
      <c r="F50" s="4">
        <v>82.96</v>
      </c>
      <c r="G50" s="4">
        <v>1004</v>
      </c>
      <c r="H50" s="4">
        <v>947</v>
      </c>
      <c r="I50" s="4">
        <v>975.5</v>
      </c>
      <c r="J50" s="4" t="s">
        <v>24</v>
      </c>
      <c r="K50" s="4">
        <v>1981</v>
      </c>
      <c r="L50" s="4" t="s">
        <v>38</v>
      </c>
      <c r="M50" s="5">
        <v>1421.21</v>
      </c>
      <c r="N50" s="4" t="s">
        <v>39</v>
      </c>
      <c r="P50" s="4">
        <v>6.57</v>
      </c>
      <c r="R50" s="4">
        <v>2.4</v>
      </c>
      <c r="S50" s="4">
        <v>6.57</v>
      </c>
      <c r="T50">
        <v>247.30699999999999</v>
      </c>
      <c r="U50">
        <v>26141.81092113</v>
      </c>
      <c r="V50"/>
      <c r="W50"/>
    </row>
    <row r="51" spans="1:23" s="4" customFormat="1" x14ac:dyDescent="0.35">
      <c r="A51" s="4" t="s">
        <v>166</v>
      </c>
      <c r="B51" s="4">
        <v>12682</v>
      </c>
      <c r="C51" s="4" t="s">
        <v>37</v>
      </c>
      <c r="D51" s="4" t="s">
        <v>30</v>
      </c>
      <c r="E51" s="4">
        <v>104.43</v>
      </c>
      <c r="F51" s="4">
        <v>82.91</v>
      </c>
      <c r="G51" s="4">
        <v>992</v>
      </c>
      <c r="H51" s="4">
        <v>944</v>
      </c>
      <c r="I51" s="4">
        <v>968</v>
      </c>
      <c r="J51" s="4" t="s">
        <v>24</v>
      </c>
      <c r="K51" s="4">
        <v>1981</v>
      </c>
      <c r="L51" s="4" t="s">
        <v>38</v>
      </c>
      <c r="M51" s="5">
        <v>1421.21</v>
      </c>
      <c r="N51" s="4" t="s">
        <v>39</v>
      </c>
      <c r="P51" s="4">
        <v>6.57</v>
      </c>
      <c r="R51" s="4">
        <v>2.4</v>
      </c>
      <c r="S51" s="4">
        <v>6.57</v>
      </c>
      <c r="T51">
        <v>96.755600000000001</v>
      </c>
      <c r="U51">
        <v>26141.880691509999</v>
      </c>
      <c r="V51"/>
      <c r="W51"/>
    </row>
    <row r="52" spans="1:23" s="4" customFormat="1" x14ac:dyDescent="0.35">
      <c r="A52" s="4" t="s">
        <v>167</v>
      </c>
      <c r="B52" s="4">
        <v>12804</v>
      </c>
      <c r="C52" s="4" t="s">
        <v>37</v>
      </c>
      <c r="D52" s="4" t="s">
        <v>30</v>
      </c>
      <c r="E52" s="4">
        <v>103.61</v>
      </c>
      <c r="F52" s="4">
        <v>82.93</v>
      </c>
      <c r="G52" s="4">
        <v>960</v>
      </c>
      <c r="H52" s="4">
        <v>899</v>
      </c>
      <c r="I52" s="4">
        <v>929.5</v>
      </c>
      <c r="J52" s="4" t="s">
        <v>24</v>
      </c>
      <c r="K52" s="4">
        <v>1981</v>
      </c>
      <c r="L52" s="4" t="s">
        <v>38</v>
      </c>
      <c r="M52" s="5">
        <v>1421.21</v>
      </c>
      <c r="N52" s="4" t="s">
        <v>39</v>
      </c>
      <c r="P52" s="4">
        <v>6.57</v>
      </c>
      <c r="R52" s="4">
        <v>2.4</v>
      </c>
      <c r="S52" s="4">
        <v>6.57</v>
      </c>
      <c r="T52">
        <v>24.4635</v>
      </c>
      <c r="U52">
        <v>26141.785329999999</v>
      </c>
      <c r="V52"/>
      <c r="W52"/>
    </row>
    <row r="53" spans="1:23" s="4" customFormat="1" x14ac:dyDescent="0.35">
      <c r="A53" s="4" t="s">
        <v>168</v>
      </c>
      <c r="B53" s="4">
        <v>12836</v>
      </c>
      <c r="C53" s="4" t="s">
        <v>37</v>
      </c>
      <c r="D53" s="4" t="s">
        <v>30</v>
      </c>
      <c r="E53" s="4">
        <v>104.59</v>
      </c>
      <c r="F53" s="4">
        <v>82.92</v>
      </c>
      <c r="G53" s="4">
        <v>993</v>
      </c>
      <c r="H53" s="4">
        <v>957</v>
      </c>
      <c r="I53" s="4">
        <v>975</v>
      </c>
      <c r="J53" s="4" t="s">
        <v>24</v>
      </c>
      <c r="K53" s="4">
        <v>1981</v>
      </c>
      <c r="L53" s="4" t="s">
        <v>38</v>
      </c>
      <c r="M53" s="5">
        <v>1421.21</v>
      </c>
      <c r="N53" s="4" t="s">
        <v>39</v>
      </c>
      <c r="P53" s="4">
        <v>6.57</v>
      </c>
      <c r="R53" s="4">
        <v>2.4</v>
      </c>
      <c r="S53" s="4">
        <v>6.57</v>
      </c>
      <c r="T53">
        <v>168.6875</v>
      </c>
      <c r="U53">
        <v>26141.577870509998</v>
      </c>
      <c r="V53"/>
      <c r="W53"/>
    </row>
    <row r="54" spans="1:23" s="4" customFormat="1" x14ac:dyDescent="0.35">
      <c r="A54" s="4" t="s">
        <v>169</v>
      </c>
      <c r="B54" s="4">
        <v>13034</v>
      </c>
      <c r="C54" s="4" t="s">
        <v>37</v>
      </c>
      <c r="D54" s="4" t="s">
        <v>30</v>
      </c>
      <c r="E54" s="4">
        <v>104.69</v>
      </c>
      <c r="F54" s="4">
        <v>82.94</v>
      </c>
      <c r="G54" s="4">
        <v>1004</v>
      </c>
      <c r="H54" s="4">
        <v>955</v>
      </c>
      <c r="I54" s="4">
        <v>979.5</v>
      </c>
      <c r="J54" s="4" t="s">
        <v>24</v>
      </c>
      <c r="K54" s="4">
        <v>1982</v>
      </c>
      <c r="L54" s="4" t="s">
        <v>38</v>
      </c>
      <c r="M54" s="5">
        <v>1421.21</v>
      </c>
      <c r="N54" s="4" t="s">
        <v>39</v>
      </c>
      <c r="P54" s="4">
        <v>6.57</v>
      </c>
      <c r="R54" s="4">
        <v>2.4</v>
      </c>
      <c r="S54" s="4">
        <v>6.57</v>
      </c>
      <c r="T54">
        <v>138.19380000000001</v>
      </c>
      <c r="U54">
        <v>26141.952501870001</v>
      </c>
      <c r="V54"/>
      <c r="W54"/>
    </row>
    <row r="55" spans="1:23" s="4" customFormat="1" x14ac:dyDescent="0.35">
      <c r="A55" s="4" t="s">
        <v>170</v>
      </c>
      <c r="B55" s="4">
        <v>13066</v>
      </c>
      <c r="C55" s="4" t="s">
        <v>37</v>
      </c>
      <c r="D55" s="4" t="s">
        <v>30</v>
      </c>
      <c r="E55" s="4">
        <v>104.55</v>
      </c>
      <c r="F55" s="4">
        <v>82.89</v>
      </c>
      <c r="G55" s="4">
        <v>1006</v>
      </c>
      <c r="H55" s="4">
        <v>941</v>
      </c>
      <c r="I55" s="4">
        <v>973.5</v>
      </c>
      <c r="J55" s="4" t="s">
        <v>24</v>
      </c>
      <c r="K55" s="4">
        <v>1982</v>
      </c>
      <c r="L55" s="4" t="s">
        <v>38</v>
      </c>
      <c r="M55" s="5">
        <v>1421.21</v>
      </c>
      <c r="N55" s="4" t="s">
        <v>39</v>
      </c>
      <c r="P55" s="4">
        <v>6.57</v>
      </c>
      <c r="R55" s="4">
        <v>2.4</v>
      </c>
      <c r="S55" s="4">
        <v>6.57</v>
      </c>
      <c r="T55"/>
      <c r="U55"/>
      <c r="V55"/>
      <c r="W55"/>
    </row>
    <row r="56" spans="1:23" s="4" customFormat="1" x14ac:dyDescent="0.35">
      <c r="A56" s="4" t="s">
        <v>171</v>
      </c>
      <c r="B56" s="4">
        <v>13111</v>
      </c>
      <c r="C56" s="4" t="s">
        <v>37</v>
      </c>
      <c r="D56" s="4" t="s">
        <v>30</v>
      </c>
      <c r="E56" s="4">
        <v>104.63</v>
      </c>
      <c r="F56" s="4">
        <v>82.93</v>
      </c>
      <c r="G56" s="4">
        <v>1007</v>
      </c>
      <c r="H56" s="4">
        <v>947</v>
      </c>
      <c r="I56" s="4">
        <v>977</v>
      </c>
      <c r="J56" s="4" t="s">
        <v>24</v>
      </c>
      <c r="K56" s="4">
        <v>1982</v>
      </c>
      <c r="L56" s="4" t="s">
        <v>38</v>
      </c>
      <c r="M56" s="5">
        <v>1421.21</v>
      </c>
      <c r="N56" s="4" t="s">
        <v>39</v>
      </c>
      <c r="P56" s="4">
        <v>6.57</v>
      </c>
      <c r="R56" s="4">
        <v>2.4</v>
      </c>
      <c r="S56" s="4">
        <v>6.57</v>
      </c>
      <c r="T56">
        <v>45.040999999999997</v>
      </c>
      <c r="U56">
        <v>26141.767783669999</v>
      </c>
      <c r="V56"/>
      <c r="W56"/>
    </row>
    <row r="57" spans="1:23" s="4" customFormat="1" x14ac:dyDescent="0.35">
      <c r="A57" s="4" t="s">
        <v>172</v>
      </c>
      <c r="B57" s="4">
        <v>13128</v>
      </c>
      <c r="C57" s="4" t="s">
        <v>37</v>
      </c>
      <c r="D57" s="4" t="s">
        <v>30</v>
      </c>
      <c r="E57" s="4">
        <v>104.65</v>
      </c>
      <c r="F57" s="4">
        <v>82.92</v>
      </c>
      <c r="G57" s="4">
        <v>999</v>
      </c>
      <c r="H57" s="4">
        <v>957</v>
      </c>
      <c r="I57" s="4">
        <v>978</v>
      </c>
      <c r="J57" s="4" t="s">
        <v>24</v>
      </c>
      <c r="K57" s="4">
        <v>1982</v>
      </c>
      <c r="L57" s="4" t="s">
        <v>38</v>
      </c>
      <c r="M57" s="5">
        <v>1421.21</v>
      </c>
      <c r="N57" s="4" t="s">
        <v>39</v>
      </c>
      <c r="P57" s="4">
        <v>6.57</v>
      </c>
      <c r="R57" s="4">
        <v>2.4</v>
      </c>
      <c r="S57" s="4">
        <v>6.57</v>
      </c>
      <c r="T57">
        <v>138.3475</v>
      </c>
      <c r="U57">
        <v>26141.961528290001</v>
      </c>
      <c r="V57"/>
      <c r="W57"/>
    </row>
    <row r="58" spans="1:23" s="4" customFormat="1" x14ac:dyDescent="0.35">
      <c r="A58" s="4" t="s">
        <v>173</v>
      </c>
      <c r="B58" s="4">
        <v>13302</v>
      </c>
      <c r="C58" s="4" t="s">
        <v>37</v>
      </c>
      <c r="D58" s="4" t="s">
        <v>30</v>
      </c>
      <c r="E58" s="4">
        <v>105.07</v>
      </c>
      <c r="F58" s="4">
        <v>82.93</v>
      </c>
      <c r="G58" s="4">
        <v>1025</v>
      </c>
      <c r="H58" s="4">
        <v>970</v>
      </c>
      <c r="I58" s="4">
        <v>997.5</v>
      </c>
      <c r="J58" s="4" t="s">
        <v>24</v>
      </c>
      <c r="K58" s="4">
        <v>1982</v>
      </c>
      <c r="L58" s="4" t="s">
        <v>38</v>
      </c>
      <c r="M58" s="5">
        <v>1421.21</v>
      </c>
      <c r="N58" s="4" t="s">
        <v>39</v>
      </c>
      <c r="P58" s="4">
        <v>6.57</v>
      </c>
      <c r="R58" s="4">
        <v>2.4</v>
      </c>
      <c r="S58" s="4">
        <v>6.57</v>
      </c>
      <c r="T58">
        <v>2.7077</v>
      </c>
      <c r="U58">
        <v>26141.745009779999</v>
      </c>
      <c r="V58"/>
      <c r="W58"/>
    </row>
    <row r="59" spans="1:23" s="4" customFormat="1" x14ac:dyDescent="0.35">
      <c r="A59" s="4" t="s">
        <v>174</v>
      </c>
      <c r="B59" s="4">
        <v>13354</v>
      </c>
      <c r="C59" s="4" t="s">
        <v>37</v>
      </c>
      <c r="D59" s="4" t="s">
        <v>30</v>
      </c>
      <c r="E59" s="4">
        <v>104.4</v>
      </c>
      <c r="F59" s="4">
        <v>82.96</v>
      </c>
      <c r="G59" s="4">
        <v>1005</v>
      </c>
      <c r="H59" s="4">
        <v>928</v>
      </c>
      <c r="I59" s="4">
        <v>966.5</v>
      </c>
      <c r="J59" s="4" t="s">
        <v>24</v>
      </c>
      <c r="K59" s="4">
        <v>1982</v>
      </c>
      <c r="L59" s="4" t="s">
        <v>38</v>
      </c>
      <c r="M59" s="5">
        <v>1421.21</v>
      </c>
      <c r="N59" s="4" t="s">
        <v>39</v>
      </c>
      <c r="P59" s="4">
        <v>6.57</v>
      </c>
      <c r="R59" s="4">
        <v>2.4</v>
      </c>
      <c r="S59" s="4">
        <v>6.57</v>
      </c>
      <c r="T59">
        <v>75.086799999999997</v>
      </c>
      <c r="U59">
        <v>26141.879412049999</v>
      </c>
      <c r="V59"/>
      <c r="W59"/>
    </row>
    <row r="60" spans="1:23" s="4" customFormat="1" x14ac:dyDescent="0.35">
      <c r="A60" s="4" t="s">
        <v>175</v>
      </c>
      <c r="B60" s="4">
        <v>13618</v>
      </c>
      <c r="C60" s="4" t="s">
        <v>37</v>
      </c>
      <c r="D60" s="4" t="s">
        <v>30</v>
      </c>
      <c r="E60" s="4">
        <v>104.57</v>
      </c>
      <c r="F60" s="4">
        <v>82.97</v>
      </c>
      <c r="G60" s="4">
        <v>998</v>
      </c>
      <c r="H60" s="4">
        <v>950</v>
      </c>
      <c r="I60" s="4">
        <v>974</v>
      </c>
      <c r="J60" s="4" t="s">
        <v>24</v>
      </c>
      <c r="K60" s="4">
        <v>1982</v>
      </c>
      <c r="L60" s="4" t="s">
        <v>38</v>
      </c>
      <c r="M60" s="5">
        <v>1421.21</v>
      </c>
      <c r="N60" s="4" t="s">
        <v>39</v>
      </c>
      <c r="P60" s="4">
        <v>6.57</v>
      </c>
      <c r="R60" s="4">
        <v>2.4</v>
      </c>
      <c r="S60" s="4">
        <v>6.57</v>
      </c>
      <c r="T60">
        <v>245.0582</v>
      </c>
      <c r="U60">
        <v>26141.811962970001</v>
      </c>
      <c r="V60"/>
      <c r="W60"/>
    </row>
    <row r="61" spans="1:23" s="4" customFormat="1" x14ac:dyDescent="0.35">
      <c r="A61" s="4" t="s">
        <v>176</v>
      </c>
      <c r="B61" s="4">
        <v>13758</v>
      </c>
      <c r="C61" s="4" t="s">
        <v>37</v>
      </c>
      <c r="D61" s="4" t="s">
        <v>30</v>
      </c>
      <c r="E61" s="4">
        <v>104.41</v>
      </c>
      <c r="F61" s="4">
        <v>82.91</v>
      </c>
      <c r="G61" s="4">
        <v>986</v>
      </c>
      <c r="H61" s="4">
        <v>948</v>
      </c>
      <c r="I61" s="4">
        <v>967</v>
      </c>
      <c r="J61" s="4" t="s">
        <v>24</v>
      </c>
      <c r="K61" s="4">
        <v>1983</v>
      </c>
      <c r="L61" s="4" t="s">
        <v>38</v>
      </c>
      <c r="M61" s="5">
        <v>1421.21</v>
      </c>
      <c r="N61" s="4" t="s">
        <v>39</v>
      </c>
      <c r="P61" s="4">
        <v>6.57</v>
      </c>
      <c r="R61" s="4">
        <v>2.4</v>
      </c>
      <c r="S61" s="4">
        <v>6.57</v>
      </c>
      <c r="T61">
        <v>26.146000000000001</v>
      </c>
      <c r="U61">
        <v>26141.751504799999</v>
      </c>
      <c r="V61"/>
      <c r="W61"/>
    </row>
    <row r="62" spans="1:23" s="4" customFormat="1" x14ac:dyDescent="0.35">
      <c r="A62" s="4" t="s">
        <v>177</v>
      </c>
      <c r="B62" s="4">
        <v>13917</v>
      </c>
      <c r="C62" s="4" t="s">
        <v>37</v>
      </c>
      <c r="D62" s="4" t="s">
        <v>30</v>
      </c>
      <c r="E62" s="4">
        <v>104.57</v>
      </c>
      <c r="F62" s="4">
        <v>82.94</v>
      </c>
      <c r="G62" s="4">
        <v>995</v>
      </c>
      <c r="H62" s="4">
        <v>953</v>
      </c>
      <c r="I62" s="4">
        <v>974</v>
      </c>
      <c r="J62" s="4" t="s">
        <v>24</v>
      </c>
      <c r="K62" s="4">
        <v>1983</v>
      </c>
      <c r="L62" s="4" t="s">
        <v>38</v>
      </c>
      <c r="M62" s="5">
        <v>1421.21</v>
      </c>
      <c r="N62" s="4" t="s">
        <v>39</v>
      </c>
      <c r="P62" s="4">
        <v>6.57</v>
      </c>
      <c r="R62" s="4">
        <v>2.4</v>
      </c>
      <c r="S62" s="4">
        <v>6.57</v>
      </c>
      <c r="T62">
        <v>343.67270000000002</v>
      </c>
      <c r="U62">
        <v>26141.95130655</v>
      </c>
      <c r="V62"/>
      <c r="W62"/>
    </row>
    <row r="63" spans="1:23" s="4" customFormat="1" x14ac:dyDescent="0.35">
      <c r="A63" s="4" t="s">
        <v>178</v>
      </c>
      <c r="B63" s="4">
        <v>13950</v>
      </c>
      <c r="C63" s="4" t="s">
        <v>37</v>
      </c>
      <c r="D63" s="4" t="s">
        <v>30</v>
      </c>
      <c r="E63" s="4">
        <v>104.56</v>
      </c>
      <c r="F63" s="4">
        <v>82.95</v>
      </c>
      <c r="G63" s="4">
        <v>1001</v>
      </c>
      <c r="H63" s="4">
        <v>947</v>
      </c>
      <c r="I63" s="4">
        <v>974</v>
      </c>
      <c r="J63" s="4" t="s">
        <v>24</v>
      </c>
      <c r="K63" s="4">
        <v>1983</v>
      </c>
      <c r="L63" s="4" t="s">
        <v>38</v>
      </c>
      <c r="M63" s="5">
        <v>1421.21</v>
      </c>
      <c r="N63" s="4" t="s">
        <v>39</v>
      </c>
      <c r="P63" s="4">
        <v>6.57</v>
      </c>
      <c r="R63" s="4">
        <v>2.4</v>
      </c>
      <c r="S63" s="4">
        <v>6.57</v>
      </c>
      <c r="T63">
        <v>71.187700000000007</v>
      </c>
      <c r="U63">
        <v>26141.87318332</v>
      </c>
      <c r="V63"/>
      <c r="W63"/>
    </row>
    <row r="64" spans="1:23" s="4" customFormat="1" x14ac:dyDescent="0.35">
      <c r="A64" s="4" t="s">
        <v>179</v>
      </c>
      <c r="B64" s="4">
        <v>14059</v>
      </c>
      <c r="C64" s="4" t="s">
        <v>37</v>
      </c>
      <c r="D64" s="4" t="s">
        <v>30</v>
      </c>
      <c r="E64" s="4">
        <v>104.41</v>
      </c>
      <c r="F64" s="4">
        <v>82.97</v>
      </c>
      <c r="G64" s="4">
        <v>999</v>
      </c>
      <c r="H64" s="4">
        <v>935</v>
      </c>
      <c r="I64" s="4">
        <v>967</v>
      </c>
      <c r="J64" s="4" t="s">
        <v>24</v>
      </c>
      <c r="K64" s="4">
        <v>1983</v>
      </c>
      <c r="L64" s="4" t="s">
        <v>38</v>
      </c>
      <c r="M64" s="5">
        <v>1421.21</v>
      </c>
      <c r="N64" s="4" t="s">
        <v>39</v>
      </c>
      <c r="P64" s="4">
        <v>6.57</v>
      </c>
      <c r="R64" s="4">
        <v>2.4</v>
      </c>
      <c r="S64" s="4">
        <v>6.57</v>
      </c>
      <c r="T64">
        <v>161.13140000000001</v>
      </c>
      <c r="U64">
        <v>26141.542022760001</v>
      </c>
      <c r="V64"/>
      <c r="W64"/>
    </row>
    <row r="65" spans="1:23" s="4" customFormat="1" x14ac:dyDescent="0.35">
      <c r="A65" s="4" t="s">
        <v>180</v>
      </c>
      <c r="B65" s="4">
        <v>14085</v>
      </c>
      <c r="C65" s="4" t="s">
        <v>37</v>
      </c>
      <c r="D65" s="4" t="s">
        <v>30</v>
      </c>
      <c r="E65" s="4">
        <v>104.61</v>
      </c>
      <c r="F65" s="4">
        <v>82.95</v>
      </c>
      <c r="G65" s="4">
        <v>1001</v>
      </c>
      <c r="H65" s="4">
        <v>951</v>
      </c>
      <c r="I65" s="4">
        <v>976</v>
      </c>
      <c r="J65" s="4" t="s">
        <v>24</v>
      </c>
      <c r="K65" s="4">
        <v>1983</v>
      </c>
      <c r="L65" s="4" t="s">
        <v>38</v>
      </c>
      <c r="M65" s="5">
        <v>1421.21</v>
      </c>
      <c r="N65" s="4" t="s">
        <v>39</v>
      </c>
      <c r="P65" s="4">
        <v>6.57</v>
      </c>
      <c r="R65" s="4">
        <v>2.4</v>
      </c>
      <c r="S65" s="4">
        <v>6.57</v>
      </c>
      <c r="T65">
        <v>189.2687</v>
      </c>
      <c r="U65">
        <v>26141.623644070001</v>
      </c>
      <c r="V65"/>
      <c r="W65"/>
    </row>
    <row r="66" spans="1:23" s="4" customFormat="1" x14ac:dyDescent="0.35">
      <c r="A66" s="4" t="s">
        <v>181</v>
      </c>
      <c r="B66" s="4">
        <v>14451</v>
      </c>
      <c r="C66" s="4" t="s">
        <v>37</v>
      </c>
      <c r="D66" s="4" t="s">
        <v>30</v>
      </c>
      <c r="E66" s="4">
        <v>104.47</v>
      </c>
      <c r="F66" s="4">
        <v>82.93</v>
      </c>
      <c r="G66" s="4">
        <v>993</v>
      </c>
      <c r="H66" s="4">
        <v>946</v>
      </c>
      <c r="I66" s="4">
        <v>969.5</v>
      </c>
      <c r="J66" s="4" t="s">
        <v>24</v>
      </c>
      <c r="K66" s="4">
        <v>1983</v>
      </c>
      <c r="L66" s="4" t="s">
        <v>38</v>
      </c>
      <c r="M66" s="5">
        <v>1421.21</v>
      </c>
      <c r="N66" s="4" t="s">
        <v>39</v>
      </c>
      <c r="P66" s="4">
        <v>6.57</v>
      </c>
      <c r="R66" s="4">
        <v>2.4</v>
      </c>
      <c r="S66" s="4">
        <v>6.57</v>
      </c>
      <c r="T66">
        <v>258.15159999999997</v>
      </c>
      <c r="U66">
        <v>26141.826303649999</v>
      </c>
      <c r="V66"/>
      <c r="W66"/>
    </row>
    <row r="67" spans="1:23" s="4" customFormat="1" x14ac:dyDescent="0.35">
      <c r="A67" s="4" t="s">
        <v>182</v>
      </c>
      <c r="B67" s="4">
        <v>14547</v>
      </c>
      <c r="C67" s="4" t="s">
        <v>37</v>
      </c>
      <c r="D67" s="4" t="s">
        <v>30</v>
      </c>
      <c r="E67" s="4">
        <v>104.54</v>
      </c>
      <c r="F67" s="4">
        <v>82.93</v>
      </c>
      <c r="G67" s="4">
        <v>1008</v>
      </c>
      <c r="H67" s="4">
        <v>938</v>
      </c>
      <c r="I67" s="4">
        <v>973</v>
      </c>
      <c r="J67" s="4" t="s">
        <v>24</v>
      </c>
      <c r="K67" s="4">
        <v>1983</v>
      </c>
      <c r="L67" s="4" t="s">
        <v>38</v>
      </c>
      <c r="M67" s="5">
        <v>1421.21</v>
      </c>
      <c r="N67" s="4" t="s">
        <v>39</v>
      </c>
      <c r="P67" s="4">
        <v>6.57</v>
      </c>
      <c r="R67" s="4">
        <v>2.4</v>
      </c>
      <c r="S67" s="4">
        <v>6.57</v>
      </c>
      <c r="T67">
        <v>183.92939999999999</v>
      </c>
      <c r="U67">
        <v>26141.546150540002</v>
      </c>
      <c r="V67"/>
      <c r="W67"/>
    </row>
    <row r="68" spans="1:23" s="4" customFormat="1" x14ac:dyDescent="0.35">
      <c r="A68" s="4" t="s">
        <v>183</v>
      </c>
      <c r="B68" s="4">
        <v>14625</v>
      </c>
      <c r="C68" s="4" t="s">
        <v>37</v>
      </c>
      <c r="D68" s="4" t="s">
        <v>30</v>
      </c>
      <c r="E68" s="4">
        <v>104.75</v>
      </c>
      <c r="F68" s="4">
        <v>82.92</v>
      </c>
      <c r="G68" s="4">
        <v>1000</v>
      </c>
      <c r="H68" s="4">
        <v>966</v>
      </c>
      <c r="I68" s="4">
        <v>983</v>
      </c>
      <c r="J68" s="4" t="s">
        <v>24</v>
      </c>
      <c r="K68" s="4">
        <v>1984</v>
      </c>
      <c r="L68" s="4" t="s">
        <v>38</v>
      </c>
      <c r="M68" s="5">
        <v>1421.21</v>
      </c>
      <c r="N68" s="4" t="s">
        <v>39</v>
      </c>
      <c r="P68" s="4">
        <v>6.57</v>
      </c>
      <c r="R68" s="4">
        <v>2.4</v>
      </c>
      <c r="S68" s="4">
        <v>6.57</v>
      </c>
      <c r="T68">
        <v>108.3694</v>
      </c>
      <c r="U68">
        <v>26141.90473681</v>
      </c>
      <c r="V68"/>
      <c r="W68"/>
    </row>
    <row r="69" spans="1:23" s="4" customFormat="1" x14ac:dyDescent="0.35">
      <c r="A69" s="4" t="s">
        <v>184</v>
      </c>
      <c r="B69" s="4">
        <v>14680</v>
      </c>
      <c r="C69" s="4" t="s">
        <v>37</v>
      </c>
      <c r="D69" s="4" t="s">
        <v>30</v>
      </c>
      <c r="E69" s="4">
        <v>104.6</v>
      </c>
      <c r="F69" s="4">
        <v>82.96</v>
      </c>
      <c r="G69" s="4">
        <v>1003</v>
      </c>
      <c r="H69" s="4">
        <v>948</v>
      </c>
      <c r="I69" s="4">
        <v>975.5</v>
      </c>
      <c r="J69" s="4" t="s">
        <v>24</v>
      </c>
      <c r="K69" s="4">
        <v>1984</v>
      </c>
      <c r="L69" s="4" t="s">
        <v>38</v>
      </c>
      <c r="M69" s="5">
        <v>1421.21</v>
      </c>
      <c r="N69" s="4" t="s">
        <v>39</v>
      </c>
      <c r="P69" s="4">
        <v>6.57</v>
      </c>
      <c r="R69" s="4">
        <v>2.4</v>
      </c>
      <c r="S69" s="4">
        <v>6.57</v>
      </c>
      <c r="T69">
        <v>144.2825</v>
      </c>
      <c r="U69">
        <v>26141.63469943</v>
      </c>
      <c r="V69"/>
      <c r="W69"/>
    </row>
    <row r="70" spans="1:23" s="4" customFormat="1" x14ac:dyDescent="0.35">
      <c r="A70" s="4" t="s">
        <v>185</v>
      </c>
      <c r="B70" s="4">
        <v>14966</v>
      </c>
      <c r="C70" s="4" t="s">
        <v>37</v>
      </c>
      <c r="D70" s="4" t="s">
        <v>30</v>
      </c>
      <c r="E70" s="4">
        <v>104.74</v>
      </c>
      <c r="F70" s="4">
        <v>82.98</v>
      </c>
      <c r="G70" s="4">
        <v>994</v>
      </c>
      <c r="H70" s="4">
        <v>970</v>
      </c>
      <c r="I70" s="4">
        <v>982</v>
      </c>
      <c r="J70" s="4" t="s">
        <v>24</v>
      </c>
      <c r="K70" s="4">
        <v>1984</v>
      </c>
      <c r="L70" s="4" t="s">
        <v>38</v>
      </c>
      <c r="M70" s="5">
        <v>1421.21</v>
      </c>
      <c r="N70" s="4" t="s">
        <v>39</v>
      </c>
      <c r="P70" s="4">
        <v>6.57</v>
      </c>
      <c r="R70" s="4">
        <v>2.4</v>
      </c>
      <c r="S70" s="4">
        <v>6.57</v>
      </c>
      <c r="T70">
        <v>209.684</v>
      </c>
      <c r="U70">
        <v>26141.230990439999</v>
      </c>
      <c r="V70"/>
      <c r="W70"/>
    </row>
    <row r="71" spans="1:23" s="4" customFormat="1" x14ac:dyDescent="0.35">
      <c r="A71" s="4" t="s">
        <v>186</v>
      </c>
      <c r="B71" s="4">
        <v>14974</v>
      </c>
      <c r="C71" s="4" t="s">
        <v>37</v>
      </c>
      <c r="D71" s="4" t="s">
        <v>30</v>
      </c>
      <c r="E71" s="4">
        <v>104.56</v>
      </c>
      <c r="F71" s="4">
        <v>82.94</v>
      </c>
      <c r="G71" s="4">
        <v>1006</v>
      </c>
      <c r="H71" s="4">
        <v>942</v>
      </c>
      <c r="I71" s="4">
        <v>974</v>
      </c>
      <c r="J71" s="4" t="s">
        <v>24</v>
      </c>
      <c r="K71" s="4">
        <v>1984</v>
      </c>
      <c r="L71" s="4" t="s">
        <v>38</v>
      </c>
      <c r="M71" s="5">
        <v>1421.21</v>
      </c>
      <c r="N71" s="4" t="s">
        <v>39</v>
      </c>
      <c r="P71" s="4">
        <v>6.57</v>
      </c>
      <c r="R71" s="4">
        <v>2.4</v>
      </c>
      <c r="S71" s="4">
        <v>6.57</v>
      </c>
      <c r="T71">
        <v>236.33099999999999</v>
      </c>
      <c r="U71">
        <v>26141.772689950001</v>
      </c>
      <c r="V71"/>
      <c r="W71"/>
    </row>
    <row r="72" spans="1:23" s="4" customFormat="1" x14ac:dyDescent="0.35">
      <c r="A72" s="4" t="s">
        <v>187</v>
      </c>
      <c r="B72" s="4">
        <v>15056</v>
      </c>
      <c r="C72" s="4" t="s">
        <v>37</v>
      </c>
      <c r="D72" s="4" t="s">
        <v>30</v>
      </c>
      <c r="E72" s="4">
        <v>104.6</v>
      </c>
      <c r="F72" s="4">
        <v>82.96</v>
      </c>
      <c r="G72" s="4">
        <v>995</v>
      </c>
      <c r="H72" s="4">
        <v>957</v>
      </c>
      <c r="I72" s="4">
        <v>976</v>
      </c>
      <c r="J72" s="4" t="s">
        <v>24</v>
      </c>
      <c r="K72" s="4">
        <v>1984</v>
      </c>
      <c r="L72" s="4" t="s">
        <v>38</v>
      </c>
      <c r="M72" s="5">
        <v>1421.21</v>
      </c>
      <c r="N72" s="4" t="s">
        <v>39</v>
      </c>
      <c r="P72" s="4">
        <v>6.57</v>
      </c>
      <c r="R72" s="4">
        <v>2.4</v>
      </c>
      <c r="S72" s="4">
        <v>6.57</v>
      </c>
      <c r="T72">
        <v>61.402299999999997</v>
      </c>
      <c r="U72">
        <v>26141.783596009998</v>
      </c>
      <c r="V72"/>
      <c r="W72"/>
    </row>
    <row r="73" spans="1:23" s="4" customFormat="1" x14ac:dyDescent="0.35">
      <c r="A73" s="4" t="s">
        <v>188</v>
      </c>
      <c r="B73" s="4">
        <v>15078</v>
      </c>
      <c r="C73" s="4" t="s">
        <v>37</v>
      </c>
      <c r="D73" s="4" t="s">
        <v>30</v>
      </c>
      <c r="E73" s="4">
        <v>104.53</v>
      </c>
      <c r="F73" s="4">
        <v>82.96</v>
      </c>
      <c r="G73" s="4">
        <v>991</v>
      </c>
      <c r="H73" s="4">
        <v>954</v>
      </c>
      <c r="I73" s="4">
        <v>972.5</v>
      </c>
      <c r="J73" s="4" t="s">
        <v>24</v>
      </c>
      <c r="K73" s="4">
        <v>1984</v>
      </c>
      <c r="L73" s="4" t="s">
        <v>38</v>
      </c>
      <c r="M73" s="5">
        <v>1421.21</v>
      </c>
      <c r="N73" s="4" t="s">
        <v>39</v>
      </c>
      <c r="P73" s="4">
        <v>6.57</v>
      </c>
      <c r="R73" s="4">
        <v>2.4</v>
      </c>
      <c r="S73" s="4">
        <v>6.57</v>
      </c>
      <c r="T73">
        <v>192.2578</v>
      </c>
      <c r="U73">
        <v>26141.385581539998</v>
      </c>
      <c r="V73"/>
      <c r="W73"/>
    </row>
    <row r="74" spans="1:23" s="4" customFormat="1" x14ac:dyDescent="0.35">
      <c r="A74" s="4" t="s">
        <v>189</v>
      </c>
      <c r="B74" s="4">
        <v>15293</v>
      </c>
      <c r="C74" s="4" t="s">
        <v>37</v>
      </c>
      <c r="D74" s="4" t="s">
        <v>30</v>
      </c>
      <c r="E74" s="4">
        <v>104.7</v>
      </c>
      <c r="F74" s="4">
        <v>82.94</v>
      </c>
      <c r="G74" s="4">
        <v>997</v>
      </c>
      <c r="H74" s="4">
        <v>964</v>
      </c>
      <c r="I74" s="4">
        <v>980.5</v>
      </c>
      <c r="J74" s="4" t="s">
        <v>24</v>
      </c>
      <c r="K74" s="4">
        <v>1984</v>
      </c>
      <c r="L74" s="4" t="s">
        <v>38</v>
      </c>
      <c r="M74" s="5">
        <v>1421.21</v>
      </c>
      <c r="N74" s="4" t="s">
        <v>39</v>
      </c>
      <c r="P74" s="4">
        <v>6.57</v>
      </c>
      <c r="R74" s="4">
        <v>2.4</v>
      </c>
      <c r="S74" s="4">
        <v>6.57</v>
      </c>
      <c r="T74">
        <v>151.86600000000001</v>
      </c>
      <c r="U74">
        <v>26141.325192429998</v>
      </c>
      <c r="V74"/>
      <c r="W74"/>
    </row>
    <row r="75" spans="1:23" s="4" customFormat="1" x14ac:dyDescent="0.35">
      <c r="A75" s="4" t="s">
        <v>190</v>
      </c>
      <c r="B75" s="4">
        <v>15360</v>
      </c>
      <c r="C75" s="4" t="s">
        <v>37</v>
      </c>
      <c r="D75" s="4" t="s">
        <v>30</v>
      </c>
      <c r="E75" s="4">
        <v>104.57</v>
      </c>
      <c r="F75" s="4">
        <v>82.94</v>
      </c>
      <c r="G75" s="4">
        <v>1004</v>
      </c>
      <c r="H75" s="4">
        <v>944</v>
      </c>
      <c r="I75" s="4">
        <v>974</v>
      </c>
      <c r="J75" s="4" t="s">
        <v>24</v>
      </c>
      <c r="K75" s="4">
        <v>1984</v>
      </c>
      <c r="L75" s="4" t="s">
        <v>38</v>
      </c>
      <c r="M75" s="5">
        <v>1421.21</v>
      </c>
      <c r="N75" s="4" t="s">
        <v>39</v>
      </c>
      <c r="P75" s="4">
        <v>6.57</v>
      </c>
      <c r="R75" s="4">
        <v>2.4</v>
      </c>
      <c r="S75" s="4">
        <v>6.57</v>
      </c>
      <c r="T75">
        <v>144.97059999999999</v>
      </c>
      <c r="U75">
        <v>26141.964508090001</v>
      </c>
      <c r="V75"/>
      <c r="W75"/>
    </row>
    <row r="76" spans="1:23" s="4" customFormat="1" x14ac:dyDescent="0.35">
      <c r="A76" s="4" t="s">
        <v>191</v>
      </c>
      <c r="B76" s="4">
        <v>15399</v>
      </c>
      <c r="C76" s="4" t="s">
        <v>37</v>
      </c>
      <c r="D76" s="4" t="s">
        <v>30</v>
      </c>
      <c r="E76" s="4">
        <v>104.62</v>
      </c>
      <c r="F76" s="4">
        <v>82.94</v>
      </c>
      <c r="G76" s="4">
        <v>1002</v>
      </c>
      <c r="H76" s="4">
        <v>951</v>
      </c>
      <c r="I76" s="4">
        <v>976.5</v>
      </c>
      <c r="J76" s="4" t="s">
        <v>24</v>
      </c>
      <c r="K76" s="4">
        <v>1984</v>
      </c>
      <c r="L76" s="4" t="s">
        <v>38</v>
      </c>
      <c r="M76" s="5">
        <v>1421.21</v>
      </c>
      <c r="N76" s="4" t="s">
        <v>39</v>
      </c>
      <c r="P76" s="4">
        <v>6.57</v>
      </c>
      <c r="R76" s="4">
        <v>2.4</v>
      </c>
      <c r="S76" s="4">
        <v>6.57</v>
      </c>
      <c r="T76">
        <v>106.00239999999999</v>
      </c>
      <c r="U76">
        <v>26141.953234000001</v>
      </c>
      <c r="V76"/>
      <c r="W76"/>
    </row>
    <row r="77" spans="1:23" s="4" customFormat="1" x14ac:dyDescent="0.35">
      <c r="A77" s="4" t="s">
        <v>192</v>
      </c>
      <c r="B77" s="4">
        <v>15506</v>
      </c>
      <c r="C77" s="4" t="s">
        <v>37</v>
      </c>
      <c r="D77" s="4" t="s">
        <v>30</v>
      </c>
      <c r="E77" s="4">
        <v>104.61</v>
      </c>
      <c r="F77" s="4">
        <v>82.92</v>
      </c>
      <c r="G77" s="4">
        <v>1003</v>
      </c>
      <c r="H77" s="4">
        <v>950</v>
      </c>
      <c r="I77" s="4">
        <v>976.5</v>
      </c>
      <c r="J77" s="4" t="s">
        <v>24</v>
      </c>
      <c r="K77" s="4">
        <v>1985</v>
      </c>
      <c r="L77" s="4" t="s">
        <v>38</v>
      </c>
      <c r="M77" s="5">
        <v>1421.21</v>
      </c>
      <c r="N77" s="4" t="s">
        <v>39</v>
      </c>
      <c r="P77" s="4">
        <v>6.57</v>
      </c>
      <c r="R77" s="4">
        <v>2.4</v>
      </c>
      <c r="S77" s="4">
        <v>6.57</v>
      </c>
      <c r="T77">
        <v>33.087299999999999</v>
      </c>
      <c r="U77">
        <v>26141.822809990001</v>
      </c>
      <c r="V77"/>
      <c r="W77"/>
    </row>
    <row r="78" spans="1:23" s="4" customFormat="1" x14ac:dyDescent="0.35">
      <c r="A78" s="4" t="s">
        <v>193</v>
      </c>
      <c r="B78" s="4">
        <v>15598</v>
      </c>
      <c r="C78" s="4" t="s">
        <v>37</v>
      </c>
      <c r="D78" s="4" t="s">
        <v>30</v>
      </c>
      <c r="E78" s="4">
        <v>104.59</v>
      </c>
      <c r="F78" s="4">
        <v>82.94</v>
      </c>
      <c r="G78" s="4">
        <v>992</v>
      </c>
      <c r="H78" s="4">
        <v>958</v>
      </c>
      <c r="I78" s="4">
        <v>975</v>
      </c>
      <c r="J78" s="4" t="s">
        <v>24</v>
      </c>
      <c r="K78" s="4">
        <v>1985</v>
      </c>
      <c r="L78" s="4" t="s">
        <v>38</v>
      </c>
      <c r="M78" s="5">
        <v>1421.21</v>
      </c>
      <c r="N78" s="4" t="s">
        <v>39</v>
      </c>
      <c r="P78" s="4">
        <v>6.57</v>
      </c>
      <c r="R78" s="4">
        <v>2.4</v>
      </c>
      <c r="S78" s="4">
        <v>6.57</v>
      </c>
      <c r="T78">
        <v>203.3065</v>
      </c>
      <c r="U78">
        <v>26141.62593161</v>
      </c>
      <c r="V78"/>
      <c r="W78"/>
    </row>
    <row r="79" spans="1:23" s="4" customFormat="1" x14ac:dyDescent="0.35">
      <c r="A79" s="4" t="s">
        <v>194</v>
      </c>
      <c r="B79" s="4">
        <v>15752</v>
      </c>
      <c r="C79" s="4" t="s">
        <v>37</v>
      </c>
      <c r="D79" s="4" t="s">
        <v>30</v>
      </c>
      <c r="E79" s="4">
        <v>104.85</v>
      </c>
      <c r="F79" s="4">
        <v>82.95</v>
      </c>
      <c r="G79" s="4">
        <v>1006</v>
      </c>
      <c r="H79" s="4">
        <v>969</v>
      </c>
      <c r="I79" s="4">
        <v>987.5</v>
      </c>
      <c r="J79" s="4" t="s">
        <v>24</v>
      </c>
      <c r="K79" s="4">
        <v>1985</v>
      </c>
      <c r="L79" s="4" t="s">
        <v>38</v>
      </c>
      <c r="M79" s="5">
        <v>1421.21</v>
      </c>
      <c r="N79" s="4" t="s">
        <v>39</v>
      </c>
      <c r="P79" s="4">
        <v>6.57</v>
      </c>
      <c r="R79" s="4">
        <v>2.4</v>
      </c>
      <c r="S79" s="4">
        <v>6.57</v>
      </c>
      <c r="T79">
        <v>61.075499999999998</v>
      </c>
      <c r="U79">
        <v>26141.848497939998</v>
      </c>
      <c r="V79"/>
      <c r="W79"/>
    </row>
    <row r="80" spans="1:23" s="4" customFormat="1" x14ac:dyDescent="0.35">
      <c r="A80" s="4" t="s">
        <v>195</v>
      </c>
      <c r="B80" s="4">
        <v>16292</v>
      </c>
      <c r="C80" s="4" t="s">
        <v>37</v>
      </c>
      <c r="D80" s="4" t="s">
        <v>30</v>
      </c>
      <c r="E80" s="4">
        <v>104.55</v>
      </c>
      <c r="F80" s="4">
        <v>82.93</v>
      </c>
      <c r="G80" s="4">
        <v>996</v>
      </c>
      <c r="H80" s="4">
        <v>951</v>
      </c>
      <c r="I80" s="4">
        <v>973.5</v>
      </c>
      <c r="J80" s="4" t="s">
        <v>24</v>
      </c>
      <c r="K80" s="4">
        <v>1985</v>
      </c>
      <c r="L80" s="4" t="s">
        <v>38</v>
      </c>
      <c r="M80" s="5">
        <v>1421.21</v>
      </c>
      <c r="N80" s="4" t="s">
        <v>39</v>
      </c>
      <c r="P80" s="4">
        <v>6.57</v>
      </c>
      <c r="R80" s="4">
        <v>2.4</v>
      </c>
      <c r="S80" s="4">
        <v>6.57</v>
      </c>
      <c r="T80">
        <v>96.234999999999999</v>
      </c>
      <c r="U80">
        <v>26141.88524603</v>
      </c>
      <c r="V80"/>
      <c r="W80"/>
    </row>
    <row r="81" spans="1:23" s="4" customFormat="1" x14ac:dyDescent="0.35">
      <c r="A81" s="4" t="s">
        <v>196</v>
      </c>
      <c r="B81" s="4">
        <v>16369</v>
      </c>
      <c r="C81" s="4" t="s">
        <v>37</v>
      </c>
      <c r="D81" s="4" t="s">
        <v>30</v>
      </c>
      <c r="E81" s="4">
        <v>104.56</v>
      </c>
      <c r="F81" s="4">
        <v>82.93</v>
      </c>
      <c r="G81" s="4">
        <v>1002</v>
      </c>
      <c r="H81" s="4">
        <v>946</v>
      </c>
      <c r="I81" s="4">
        <v>974</v>
      </c>
      <c r="J81" s="4" t="s">
        <v>24</v>
      </c>
      <c r="K81" s="4">
        <v>1985</v>
      </c>
      <c r="L81" s="4" t="s">
        <v>38</v>
      </c>
      <c r="M81" s="5">
        <v>1421.21</v>
      </c>
      <c r="N81" s="4" t="s">
        <v>39</v>
      </c>
      <c r="P81" s="4">
        <v>6.57</v>
      </c>
      <c r="R81" s="4">
        <v>2.4</v>
      </c>
      <c r="S81" s="4">
        <v>6.57</v>
      </c>
      <c r="T81">
        <v>82.875900000000001</v>
      </c>
      <c r="U81">
        <v>26141.895700540001</v>
      </c>
      <c r="V81"/>
      <c r="W81"/>
    </row>
    <row r="82" spans="1:23" s="4" customFormat="1" x14ac:dyDescent="0.35">
      <c r="A82" s="4" t="s">
        <v>197</v>
      </c>
      <c r="B82" s="4">
        <v>16494</v>
      </c>
      <c r="C82" s="4" t="s">
        <v>37</v>
      </c>
      <c r="D82" s="4" t="s">
        <v>30</v>
      </c>
      <c r="E82" s="4">
        <v>104.59</v>
      </c>
      <c r="F82" s="4">
        <v>82.93</v>
      </c>
      <c r="G82" s="4">
        <v>990</v>
      </c>
      <c r="H82" s="4">
        <v>961</v>
      </c>
      <c r="I82" s="4">
        <v>975.5</v>
      </c>
      <c r="J82" s="4" t="s">
        <v>24</v>
      </c>
      <c r="K82" s="4">
        <v>1986</v>
      </c>
      <c r="L82" s="4" t="s">
        <v>38</v>
      </c>
      <c r="M82" s="5">
        <v>1421.21</v>
      </c>
      <c r="N82" s="4" t="s">
        <v>39</v>
      </c>
      <c r="P82" s="4">
        <v>6.57</v>
      </c>
      <c r="R82" s="4">
        <v>2.4</v>
      </c>
      <c r="S82" s="4">
        <v>6.57</v>
      </c>
      <c r="T82">
        <v>166.3631</v>
      </c>
      <c r="U82">
        <v>26141.618885690001</v>
      </c>
      <c r="V82"/>
      <c r="W82"/>
    </row>
    <row r="83" spans="1:23" s="4" customFormat="1" x14ac:dyDescent="0.35">
      <c r="A83" s="4" t="s">
        <v>198</v>
      </c>
      <c r="B83" s="4">
        <v>16511</v>
      </c>
      <c r="C83" s="4" t="s">
        <v>37</v>
      </c>
      <c r="D83" s="4" t="s">
        <v>30</v>
      </c>
      <c r="E83" s="4">
        <v>104.65</v>
      </c>
      <c r="F83" s="4">
        <v>82.94</v>
      </c>
      <c r="G83" s="4">
        <v>995</v>
      </c>
      <c r="H83" s="4">
        <v>961</v>
      </c>
      <c r="I83" s="4">
        <v>978</v>
      </c>
      <c r="J83" s="4" t="s">
        <v>24</v>
      </c>
      <c r="K83" s="4">
        <v>1986</v>
      </c>
      <c r="L83" s="4" t="s">
        <v>38</v>
      </c>
      <c r="M83" s="5">
        <v>1421.21</v>
      </c>
      <c r="N83" s="4" t="s">
        <v>39</v>
      </c>
      <c r="P83" s="4">
        <v>6.57</v>
      </c>
      <c r="R83" s="4">
        <v>2.4</v>
      </c>
      <c r="S83" s="4">
        <v>6.57</v>
      </c>
      <c r="T83">
        <v>321.4384</v>
      </c>
      <c r="U83">
        <v>26141.96430403</v>
      </c>
      <c r="V83"/>
      <c r="W83"/>
    </row>
    <row r="84" spans="1:23" s="4" customFormat="1" x14ac:dyDescent="0.35">
      <c r="A84" s="4" t="s">
        <v>199</v>
      </c>
      <c r="B84" s="4">
        <v>16728</v>
      </c>
      <c r="C84" s="4" t="s">
        <v>37</v>
      </c>
      <c r="D84" s="4" t="s">
        <v>30</v>
      </c>
      <c r="E84" s="4">
        <v>104.57</v>
      </c>
      <c r="F84" s="4">
        <v>82.95</v>
      </c>
      <c r="G84" s="4">
        <v>998</v>
      </c>
      <c r="H84" s="4">
        <v>951</v>
      </c>
      <c r="I84" s="4">
        <v>974.5</v>
      </c>
      <c r="J84" s="4" t="s">
        <v>24</v>
      </c>
      <c r="K84" s="4">
        <v>1986</v>
      </c>
      <c r="L84" s="4" t="s">
        <v>38</v>
      </c>
      <c r="M84" s="5">
        <v>1421.21</v>
      </c>
      <c r="N84" s="4" t="s">
        <v>39</v>
      </c>
      <c r="P84" s="4">
        <v>6.57</v>
      </c>
      <c r="R84" s="4">
        <v>2.4</v>
      </c>
      <c r="S84" s="4">
        <v>6.57</v>
      </c>
      <c r="T84">
        <v>78.949200000000005</v>
      </c>
      <c r="U84">
        <v>26141.912870730001</v>
      </c>
      <c r="V84"/>
      <c r="W84"/>
    </row>
    <row r="85" spans="1:23" s="4" customFormat="1" x14ac:dyDescent="0.35">
      <c r="A85" s="4" t="s">
        <v>200</v>
      </c>
      <c r="B85" s="4">
        <v>16799</v>
      </c>
      <c r="C85" s="4" t="s">
        <v>37</v>
      </c>
      <c r="D85" s="4" t="s">
        <v>30</v>
      </c>
      <c r="E85" s="4">
        <v>104.53</v>
      </c>
      <c r="F85" s="4">
        <v>82.92</v>
      </c>
      <c r="G85" s="4">
        <v>1021</v>
      </c>
      <c r="H85" s="4">
        <v>924</v>
      </c>
      <c r="I85" s="4">
        <v>972.5</v>
      </c>
      <c r="J85" s="4" t="s">
        <v>24</v>
      </c>
      <c r="K85" s="4">
        <v>1986</v>
      </c>
      <c r="L85" s="4" t="s">
        <v>38</v>
      </c>
      <c r="M85" s="5">
        <v>1421.21</v>
      </c>
      <c r="N85" s="4" t="s">
        <v>39</v>
      </c>
      <c r="P85" s="4">
        <v>6.57</v>
      </c>
      <c r="R85" s="4">
        <v>2.4</v>
      </c>
      <c r="S85" s="4">
        <v>6.57</v>
      </c>
      <c r="T85">
        <v>166.58969999999999</v>
      </c>
      <c r="U85">
        <v>26141.197653110001</v>
      </c>
      <c r="V85"/>
      <c r="W85"/>
    </row>
    <row r="86" spans="1:23" s="4" customFormat="1" x14ac:dyDescent="0.35">
      <c r="A86" s="4" t="s">
        <v>201</v>
      </c>
      <c r="B86" s="4">
        <v>17067</v>
      </c>
      <c r="C86" s="4" t="s">
        <v>37</v>
      </c>
      <c r="D86" s="4" t="s">
        <v>30</v>
      </c>
      <c r="E86" s="4">
        <v>104.49</v>
      </c>
      <c r="F86" s="4">
        <v>82.94</v>
      </c>
      <c r="G86" s="4">
        <v>995</v>
      </c>
      <c r="H86" s="4">
        <v>946</v>
      </c>
      <c r="I86" s="4">
        <v>970.5</v>
      </c>
      <c r="J86" s="4" t="s">
        <v>24</v>
      </c>
      <c r="K86" s="4">
        <v>1986</v>
      </c>
      <c r="L86" s="4" t="s">
        <v>38</v>
      </c>
      <c r="M86" s="5">
        <v>1421.21</v>
      </c>
      <c r="N86" s="4" t="s">
        <v>39</v>
      </c>
      <c r="P86" s="4">
        <v>6.57</v>
      </c>
      <c r="R86" s="4">
        <v>2.4</v>
      </c>
      <c r="S86" s="4">
        <v>6.57</v>
      </c>
      <c r="T86">
        <v>244.72540000000001</v>
      </c>
      <c r="U86">
        <v>26141.76464573</v>
      </c>
      <c r="V86"/>
      <c r="W86"/>
    </row>
    <row r="87" spans="1:23" s="4" customFormat="1" x14ac:dyDescent="0.35">
      <c r="A87" s="4" t="s">
        <v>202</v>
      </c>
      <c r="B87" s="4">
        <v>17160</v>
      </c>
      <c r="C87" s="4" t="s">
        <v>37</v>
      </c>
      <c r="D87" s="4" t="s">
        <v>30</v>
      </c>
      <c r="E87" s="4">
        <v>104.73</v>
      </c>
      <c r="F87" s="4">
        <v>82.93</v>
      </c>
      <c r="G87" s="4">
        <v>1012</v>
      </c>
      <c r="H87" s="4">
        <v>952</v>
      </c>
      <c r="I87" s="4">
        <v>982</v>
      </c>
      <c r="J87" s="4" t="s">
        <v>24</v>
      </c>
      <c r="K87" s="4">
        <v>1986</v>
      </c>
      <c r="L87" s="4" t="s">
        <v>38</v>
      </c>
      <c r="M87" s="5">
        <v>1421.21</v>
      </c>
      <c r="N87" s="4" t="s">
        <v>39</v>
      </c>
      <c r="P87" s="4">
        <v>6.57</v>
      </c>
      <c r="R87" s="4">
        <v>2.4</v>
      </c>
      <c r="S87" s="4">
        <v>6.57</v>
      </c>
      <c r="T87">
        <v>165.23140000000001</v>
      </c>
      <c r="U87">
        <v>26141.59651322</v>
      </c>
      <c r="V87"/>
      <c r="W87"/>
    </row>
    <row r="88" spans="1:23" s="4" customFormat="1" x14ac:dyDescent="0.35">
      <c r="A88" s="4" t="s">
        <v>203</v>
      </c>
      <c r="B88" s="4">
        <v>17240</v>
      </c>
      <c r="C88" s="4" t="s">
        <v>37</v>
      </c>
      <c r="D88" s="4" t="s">
        <v>30</v>
      </c>
      <c r="E88" s="4">
        <v>104.78</v>
      </c>
      <c r="F88" s="4">
        <v>82.93</v>
      </c>
      <c r="G88" s="4">
        <v>1006</v>
      </c>
      <c r="H88" s="4">
        <v>962</v>
      </c>
      <c r="I88" s="4">
        <v>984</v>
      </c>
      <c r="J88" s="4" t="s">
        <v>24</v>
      </c>
      <c r="K88" s="4">
        <v>1986</v>
      </c>
      <c r="L88" s="4" t="s">
        <v>38</v>
      </c>
      <c r="M88" s="5">
        <v>1421.21</v>
      </c>
      <c r="N88" s="4" t="s">
        <v>39</v>
      </c>
      <c r="P88" s="4">
        <v>6.57</v>
      </c>
      <c r="R88" s="4">
        <v>2.4</v>
      </c>
      <c r="S88" s="4">
        <v>6.57</v>
      </c>
      <c r="T88">
        <v>152.89869999999999</v>
      </c>
      <c r="U88">
        <v>26141.47337308</v>
      </c>
      <c r="V88"/>
      <c r="W88"/>
    </row>
    <row r="89" spans="1:23" s="4" customFormat="1" x14ac:dyDescent="0.35">
      <c r="A89" s="4" t="s">
        <v>204</v>
      </c>
      <c r="B89" s="4">
        <v>17360</v>
      </c>
      <c r="C89" s="4" t="s">
        <v>37</v>
      </c>
      <c r="D89" s="4" t="s">
        <v>30</v>
      </c>
      <c r="E89" s="4">
        <v>104.57</v>
      </c>
      <c r="F89" s="4">
        <v>82.92</v>
      </c>
      <c r="G89" s="4">
        <v>999</v>
      </c>
      <c r="H89" s="4">
        <v>950</v>
      </c>
      <c r="I89" s="4">
        <v>974.5</v>
      </c>
      <c r="J89" s="4" t="s">
        <v>24</v>
      </c>
      <c r="K89" s="4">
        <v>1987</v>
      </c>
      <c r="L89" s="4" t="s">
        <v>38</v>
      </c>
      <c r="M89" s="5">
        <v>1421.21</v>
      </c>
      <c r="N89" s="4" t="s">
        <v>39</v>
      </c>
      <c r="P89" s="4">
        <v>6.57</v>
      </c>
      <c r="R89" s="4">
        <v>2.4</v>
      </c>
      <c r="S89" s="4">
        <v>6.57</v>
      </c>
      <c r="T89">
        <v>357.10969999999998</v>
      </c>
      <c r="U89">
        <v>26141.74562446</v>
      </c>
      <c r="V89"/>
      <c r="W89"/>
    </row>
    <row r="90" spans="1:23" s="4" customFormat="1" x14ac:dyDescent="0.35">
      <c r="A90" s="4" t="s">
        <v>205</v>
      </c>
      <c r="B90" s="4">
        <v>17526</v>
      </c>
      <c r="C90" s="4" t="s">
        <v>37</v>
      </c>
      <c r="D90" s="4" t="s">
        <v>30</v>
      </c>
      <c r="E90" s="4">
        <v>104.56</v>
      </c>
      <c r="F90" s="4">
        <v>82.9</v>
      </c>
      <c r="G90" s="4">
        <v>1002</v>
      </c>
      <c r="H90" s="4">
        <v>945</v>
      </c>
      <c r="I90" s="4">
        <v>973.5</v>
      </c>
      <c r="J90" s="4" t="s">
        <v>24</v>
      </c>
      <c r="K90" s="4">
        <v>1987</v>
      </c>
      <c r="L90" s="4" t="s">
        <v>38</v>
      </c>
      <c r="M90" s="5">
        <v>1421.21</v>
      </c>
      <c r="N90" s="4" t="s">
        <v>39</v>
      </c>
      <c r="P90" s="4">
        <v>6.57</v>
      </c>
      <c r="R90" s="4">
        <v>2.4</v>
      </c>
      <c r="S90" s="4">
        <v>6.57</v>
      </c>
      <c r="T90">
        <v>122.6472</v>
      </c>
      <c r="U90">
        <v>26141.94478998</v>
      </c>
      <c r="V90"/>
      <c r="W90"/>
    </row>
    <row r="91" spans="1:23" s="4" customFormat="1" x14ac:dyDescent="0.35">
      <c r="A91" s="4" t="s">
        <v>206</v>
      </c>
      <c r="B91" s="4">
        <v>18130</v>
      </c>
      <c r="C91" s="4" t="s">
        <v>37</v>
      </c>
      <c r="D91" s="4" t="s">
        <v>30</v>
      </c>
      <c r="E91" s="4">
        <v>104.58</v>
      </c>
      <c r="F91" s="4">
        <v>82.92</v>
      </c>
      <c r="G91" s="4">
        <v>986</v>
      </c>
      <c r="H91" s="4">
        <v>963</v>
      </c>
      <c r="I91" s="4">
        <v>974.5</v>
      </c>
      <c r="J91" s="4" t="s">
        <v>24</v>
      </c>
      <c r="K91" s="4">
        <v>1987</v>
      </c>
      <c r="L91" s="4" t="s">
        <v>38</v>
      </c>
      <c r="M91" s="5">
        <v>1421.21</v>
      </c>
      <c r="N91" s="4" t="s">
        <v>39</v>
      </c>
      <c r="P91" s="4">
        <v>6.57</v>
      </c>
      <c r="R91" s="4">
        <v>2.4</v>
      </c>
      <c r="S91" s="4">
        <v>6.57</v>
      </c>
      <c r="T91">
        <v>280.74889999999999</v>
      </c>
      <c r="U91">
        <v>26141.888032219998</v>
      </c>
      <c r="V91"/>
      <c r="W91"/>
    </row>
    <row r="92" spans="1:23" s="4" customFormat="1" x14ac:dyDescent="0.35">
      <c r="A92" s="4" t="s">
        <v>207</v>
      </c>
      <c r="B92" s="4">
        <v>18161</v>
      </c>
      <c r="C92" s="4" t="s">
        <v>37</v>
      </c>
      <c r="D92" s="4" t="s">
        <v>30</v>
      </c>
      <c r="E92" s="4">
        <v>104.54</v>
      </c>
      <c r="F92" s="4">
        <v>82.93</v>
      </c>
      <c r="G92" s="4">
        <v>995</v>
      </c>
      <c r="H92" s="4">
        <v>951</v>
      </c>
      <c r="I92" s="4">
        <v>973</v>
      </c>
      <c r="J92" s="4" t="s">
        <v>24</v>
      </c>
      <c r="K92" s="4">
        <v>1987</v>
      </c>
      <c r="L92" s="4" t="s">
        <v>38</v>
      </c>
      <c r="M92" s="5">
        <v>1421.21</v>
      </c>
      <c r="N92" s="4" t="s">
        <v>39</v>
      </c>
      <c r="P92" s="4">
        <v>6.57</v>
      </c>
      <c r="R92" s="4">
        <v>2.4</v>
      </c>
      <c r="S92" s="4">
        <v>6.57</v>
      </c>
      <c r="T92">
        <v>165.04409999999999</v>
      </c>
      <c r="U92">
        <v>26141.34817211</v>
      </c>
      <c r="V92"/>
      <c r="W92"/>
    </row>
    <row r="93" spans="1:23" s="4" customFormat="1" x14ac:dyDescent="0.35">
      <c r="A93" s="4" t="s">
        <v>208</v>
      </c>
      <c r="B93" s="4">
        <v>18403</v>
      </c>
      <c r="C93" s="4" t="s">
        <v>37</v>
      </c>
      <c r="D93" s="4" t="s">
        <v>30</v>
      </c>
      <c r="E93" s="4">
        <v>104.59</v>
      </c>
      <c r="F93" s="4">
        <v>82.92</v>
      </c>
      <c r="G93" s="4">
        <v>1019</v>
      </c>
      <c r="H93" s="4">
        <v>932</v>
      </c>
      <c r="I93" s="4">
        <v>975.5</v>
      </c>
      <c r="J93" s="4" t="s">
        <v>24</v>
      </c>
      <c r="K93" s="4">
        <v>1987</v>
      </c>
      <c r="L93" s="4" t="s">
        <v>38</v>
      </c>
      <c r="M93" s="5">
        <v>1421.21</v>
      </c>
      <c r="N93" s="4" t="s">
        <v>39</v>
      </c>
      <c r="P93" s="4">
        <v>6.57</v>
      </c>
      <c r="R93" s="4">
        <v>2.4</v>
      </c>
      <c r="S93" s="4">
        <v>6.57</v>
      </c>
      <c r="T93">
        <v>182.13980000000001</v>
      </c>
      <c r="U93">
        <v>26141.72128836</v>
      </c>
      <c r="V93"/>
      <c r="W93"/>
    </row>
    <row r="94" spans="1:23" s="4" customFormat="1" x14ac:dyDescent="0.35">
      <c r="A94" s="4" t="s">
        <v>209</v>
      </c>
      <c r="B94" s="4">
        <v>18710</v>
      </c>
      <c r="C94" s="4" t="s">
        <v>37</v>
      </c>
      <c r="D94" s="4" t="s">
        <v>30</v>
      </c>
      <c r="E94" s="4">
        <v>104.63</v>
      </c>
      <c r="F94" s="4">
        <v>82.91</v>
      </c>
      <c r="G94" s="4">
        <v>995</v>
      </c>
      <c r="H94" s="4">
        <v>959</v>
      </c>
      <c r="I94" s="4">
        <v>977</v>
      </c>
      <c r="J94" s="4" t="s">
        <v>24</v>
      </c>
      <c r="K94" s="4">
        <v>1987</v>
      </c>
      <c r="L94" s="4" t="s">
        <v>38</v>
      </c>
      <c r="M94" s="5">
        <v>1421.21</v>
      </c>
      <c r="N94" s="4" t="s">
        <v>39</v>
      </c>
      <c r="P94" s="4">
        <v>6.57</v>
      </c>
      <c r="R94" s="4">
        <v>2.4</v>
      </c>
      <c r="S94" s="4">
        <v>6.57</v>
      </c>
      <c r="T94">
        <v>56.0334</v>
      </c>
      <c r="U94">
        <v>26141.890480829999</v>
      </c>
      <c r="V94"/>
      <c r="W94"/>
    </row>
    <row r="95" spans="1:23" s="4" customFormat="1" x14ac:dyDescent="0.35">
      <c r="A95" s="4" t="s">
        <v>210</v>
      </c>
      <c r="B95" s="4">
        <v>18986</v>
      </c>
      <c r="C95" s="4" t="s">
        <v>37</v>
      </c>
      <c r="D95" s="4" t="s">
        <v>30</v>
      </c>
      <c r="E95" s="4">
        <v>104.43</v>
      </c>
      <c r="F95" s="4">
        <v>82.95</v>
      </c>
      <c r="G95" s="4">
        <v>999</v>
      </c>
      <c r="H95" s="4">
        <v>936</v>
      </c>
      <c r="I95" s="4">
        <v>967.5</v>
      </c>
      <c r="J95" s="4" t="s">
        <v>24</v>
      </c>
      <c r="K95" s="4">
        <v>1988</v>
      </c>
      <c r="L95" s="4" t="s">
        <v>38</v>
      </c>
      <c r="M95" s="5">
        <v>1421.21</v>
      </c>
      <c r="N95" s="4" t="s">
        <v>39</v>
      </c>
      <c r="P95" s="4">
        <v>6.57</v>
      </c>
      <c r="R95" s="4">
        <v>2.4</v>
      </c>
      <c r="S95" s="4">
        <v>6.57</v>
      </c>
      <c r="T95">
        <v>137.3509</v>
      </c>
      <c r="U95">
        <v>26141.60044926</v>
      </c>
      <c r="V95"/>
      <c r="W95"/>
    </row>
    <row r="96" spans="1:23" s="4" customFormat="1" x14ac:dyDescent="0.35">
      <c r="A96" s="4" t="s">
        <v>211</v>
      </c>
      <c r="B96" s="4">
        <v>19325</v>
      </c>
      <c r="C96" s="4" t="s">
        <v>37</v>
      </c>
      <c r="D96" s="4" t="s">
        <v>30</v>
      </c>
      <c r="E96" s="4">
        <v>104.51</v>
      </c>
      <c r="F96" s="4">
        <v>82.95</v>
      </c>
      <c r="G96" s="4">
        <v>997</v>
      </c>
      <c r="H96" s="4">
        <v>946</v>
      </c>
      <c r="I96" s="4">
        <v>971.5</v>
      </c>
      <c r="J96" s="4" t="s">
        <v>24</v>
      </c>
      <c r="K96" s="4">
        <v>1988</v>
      </c>
      <c r="L96" s="4" t="s">
        <v>38</v>
      </c>
      <c r="M96" s="5">
        <v>1421.21</v>
      </c>
      <c r="N96" s="4" t="s">
        <v>39</v>
      </c>
      <c r="P96" s="4">
        <v>6.57</v>
      </c>
      <c r="R96" s="4">
        <v>2.4</v>
      </c>
      <c r="S96" s="4">
        <v>6.57</v>
      </c>
      <c r="T96">
        <v>119.0176</v>
      </c>
      <c r="U96">
        <v>26141.934018389999</v>
      </c>
      <c r="V96"/>
      <c r="W96"/>
    </row>
    <row r="97" spans="1:23" s="4" customFormat="1" x14ac:dyDescent="0.35">
      <c r="A97" s="4" t="s">
        <v>212</v>
      </c>
      <c r="B97" s="4">
        <v>19827</v>
      </c>
      <c r="C97" s="4" t="s">
        <v>37</v>
      </c>
      <c r="D97" s="4" t="s">
        <v>30</v>
      </c>
      <c r="E97" s="4">
        <v>104.77</v>
      </c>
      <c r="F97" s="4">
        <v>82.95</v>
      </c>
      <c r="G97" s="4">
        <v>1006</v>
      </c>
      <c r="H97" s="4">
        <v>962</v>
      </c>
      <c r="I97" s="4">
        <v>984</v>
      </c>
      <c r="J97" s="4" t="s">
        <v>24</v>
      </c>
      <c r="K97" s="4">
        <v>1989</v>
      </c>
      <c r="L97" s="4" t="s">
        <v>38</v>
      </c>
      <c r="M97" s="5">
        <v>1421.21</v>
      </c>
      <c r="N97" s="4" t="s">
        <v>39</v>
      </c>
      <c r="P97" s="4">
        <v>6.57</v>
      </c>
      <c r="R97" s="4">
        <v>2.4</v>
      </c>
      <c r="S97" s="4">
        <v>6.57</v>
      </c>
      <c r="T97">
        <v>271.37979999999999</v>
      </c>
      <c r="U97">
        <v>26141.892731349999</v>
      </c>
      <c r="V97"/>
      <c r="W97"/>
    </row>
    <row r="98" spans="1:23" s="4" customFormat="1" x14ac:dyDescent="0.35">
      <c r="A98" s="4" t="s">
        <v>213</v>
      </c>
      <c r="B98" s="4">
        <v>19922</v>
      </c>
      <c r="C98" s="4" t="s">
        <v>37</v>
      </c>
      <c r="D98" s="4" t="s">
        <v>30</v>
      </c>
      <c r="E98" s="4">
        <v>104.54</v>
      </c>
      <c r="F98" s="4">
        <v>82.96</v>
      </c>
      <c r="G98" s="4">
        <v>1000</v>
      </c>
      <c r="H98" s="4">
        <v>945</v>
      </c>
      <c r="I98" s="4">
        <v>972.5</v>
      </c>
      <c r="J98" s="4" t="s">
        <v>24</v>
      </c>
      <c r="K98" s="4">
        <v>1989</v>
      </c>
      <c r="L98" s="4" t="s">
        <v>38</v>
      </c>
      <c r="M98" s="5">
        <v>1421.21</v>
      </c>
      <c r="N98" s="4" t="s">
        <v>39</v>
      </c>
      <c r="P98" s="4">
        <v>6.57</v>
      </c>
      <c r="R98" s="4">
        <v>2.4</v>
      </c>
      <c r="S98" s="4">
        <v>6.57</v>
      </c>
      <c r="T98">
        <v>167.69049999999999</v>
      </c>
      <c r="U98">
        <v>26141.59535802</v>
      </c>
      <c r="V98"/>
      <c r="W98"/>
    </row>
    <row r="99" spans="1:23" s="4" customFormat="1" x14ac:dyDescent="0.35">
      <c r="A99" s="4" t="s">
        <v>214</v>
      </c>
      <c r="B99" s="4">
        <v>20046</v>
      </c>
      <c r="C99" s="4" t="s">
        <v>37</v>
      </c>
      <c r="D99" s="4" t="s">
        <v>30</v>
      </c>
      <c r="E99" s="4">
        <v>104.45</v>
      </c>
      <c r="F99" s="4">
        <v>82.94</v>
      </c>
      <c r="G99" s="4">
        <v>999</v>
      </c>
      <c r="H99" s="4">
        <v>938</v>
      </c>
      <c r="I99" s="4">
        <v>968.5</v>
      </c>
      <c r="J99" s="4" t="s">
        <v>24</v>
      </c>
      <c r="K99" s="4">
        <v>1989</v>
      </c>
      <c r="L99" s="4" t="s">
        <v>38</v>
      </c>
      <c r="M99" s="5">
        <v>1421.21</v>
      </c>
      <c r="N99" s="4" t="s">
        <v>39</v>
      </c>
      <c r="P99" s="4">
        <v>4.2</v>
      </c>
      <c r="R99" s="4">
        <v>2.4</v>
      </c>
      <c r="S99" s="4">
        <v>4.2</v>
      </c>
      <c r="T99">
        <v>32.346699999999998</v>
      </c>
      <c r="U99">
        <v>26141.79553942</v>
      </c>
      <c r="V99"/>
      <c r="W99"/>
    </row>
    <row r="100" spans="1:23" s="4" customFormat="1" x14ac:dyDescent="0.35">
      <c r="A100" s="4" t="s">
        <v>215</v>
      </c>
      <c r="B100" s="4">
        <v>20104</v>
      </c>
      <c r="C100" s="4" t="s">
        <v>37</v>
      </c>
      <c r="D100" s="4" t="s">
        <v>30</v>
      </c>
      <c r="E100" s="4">
        <v>104.53</v>
      </c>
      <c r="F100" s="4">
        <v>82.95</v>
      </c>
      <c r="G100" s="4">
        <v>1005</v>
      </c>
      <c r="H100" s="4">
        <v>939</v>
      </c>
      <c r="I100" s="4">
        <v>972</v>
      </c>
      <c r="J100" s="4" t="s">
        <v>24</v>
      </c>
      <c r="K100" s="4">
        <v>1989</v>
      </c>
      <c r="L100" s="4" t="s">
        <v>38</v>
      </c>
      <c r="M100" s="5">
        <v>1434</v>
      </c>
      <c r="N100" s="4" t="s">
        <v>39</v>
      </c>
      <c r="P100" s="4">
        <v>4.2</v>
      </c>
      <c r="R100" s="4">
        <v>2.4</v>
      </c>
      <c r="S100" s="4">
        <v>4.2</v>
      </c>
      <c r="T100">
        <v>271.21170000000001</v>
      </c>
      <c r="U100">
        <v>26141.899317560001</v>
      </c>
      <c r="V100"/>
      <c r="W100"/>
    </row>
    <row r="101" spans="1:23" s="4" customFormat="1" x14ac:dyDescent="0.35">
      <c r="A101" s="4" t="s">
        <v>216</v>
      </c>
      <c r="B101" s="4">
        <v>20150</v>
      </c>
      <c r="C101" s="4" t="s">
        <v>37</v>
      </c>
      <c r="D101" s="4" t="s">
        <v>30</v>
      </c>
      <c r="E101" s="4">
        <v>104.66</v>
      </c>
      <c r="F101" s="4">
        <v>82.94</v>
      </c>
      <c r="G101" s="4">
        <v>999</v>
      </c>
      <c r="H101" s="4">
        <v>958</v>
      </c>
      <c r="I101" s="4">
        <v>978.5</v>
      </c>
      <c r="J101" s="4" t="s">
        <v>24</v>
      </c>
      <c r="K101" s="4">
        <v>1989</v>
      </c>
      <c r="L101" s="4" t="s">
        <v>38</v>
      </c>
      <c r="M101" s="5">
        <v>1421.21</v>
      </c>
      <c r="N101" s="4" t="s">
        <v>39</v>
      </c>
      <c r="P101" s="4">
        <v>6.57</v>
      </c>
      <c r="R101" s="4">
        <v>2.4</v>
      </c>
      <c r="S101" s="4">
        <v>6.57</v>
      </c>
      <c r="T101">
        <v>195.28280000000001</v>
      </c>
      <c r="U101">
        <v>26141.43766281</v>
      </c>
      <c r="V101"/>
      <c r="W101"/>
    </row>
    <row r="102" spans="1:23" s="4" customFormat="1" x14ac:dyDescent="0.35">
      <c r="A102" s="4" t="s">
        <v>217</v>
      </c>
      <c r="B102" s="4">
        <v>20509</v>
      </c>
      <c r="C102" s="4" t="s">
        <v>37</v>
      </c>
      <c r="D102" s="4" t="s">
        <v>30</v>
      </c>
      <c r="E102" s="4">
        <v>104.66</v>
      </c>
      <c r="F102" s="4">
        <v>82.95</v>
      </c>
      <c r="G102" s="4">
        <v>1011</v>
      </c>
      <c r="H102" s="4">
        <v>946</v>
      </c>
      <c r="I102" s="4">
        <v>978.5</v>
      </c>
      <c r="J102" s="4" t="s">
        <v>24</v>
      </c>
      <c r="K102" s="4">
        <v>1990</v>
      </c>
      <c r="L102" s="4" t="s">
        <v>38</v>
      </c>
      <c r="M102" s="5">
        <v>1421.21</v>
      </c>
      <c r="N102" s="4" t="s">
        <v>39</v>
      </c>
      <c r="P102" s="4">
        <v>6.57</v>
      </c>
      <c r="R102" s="4">
        <v>2.4</v>
      </c>
      <c r="S102" s="4">
        <v>6.57</v>
      </c>
      <c r="T102">
        <v>70.534400000000005</v>
      </c>
      <c r="U102">
        <v>26141.87693187</v>
      </c>
      <c r="V102"/>
      <c r="W102"/>
    </row>
    <row r="103" spans="1:23" s="4" customFormat="1" x14ac:dyDescent="0.35">
      <c r="A103" s="4" t="s">
        <v>218</v>
      </c>
      <c r="B103" s="4">
        <v>20528</v>
      </c>
      <c r="C103" s="4" t="s">
        <v>37</v>
      </c>
      <c r="D103" s="4" t="s">
        <v>30</v>
      </c>
      <c r="E103" s="4">
        <v>104.87</v>
      </c>
      <c r="F103" s="4">
        <v>82.94</v>
      </c>
      <c r="G103" s="4">
        <v>1012</v>
      </c>
      <c r="H103" s="4">
        <v>965</v>
      </c>
      <c r="I103" s="4">
        <v>988.5</v>
      </c>
      <c r="J103" s="4" t="s">
        <v>24</v>
      </c>
      <c r="K103" s="4">
        <v>1990</v>
      </c>
      <c r="L103" s="4" t="s">
        <v>38</v>
      </c>
      <c r="M103" s="5">
        <v>1421.21</v>
      </c>
      <c r="N103" s="4" t="s">
        <v>39</v>
      </c>
      <c r="P103" s="4">
        <v>6.57</v>
      </c>
      <c r="R103" s="4">
        <v>2.4</v>
      </c>
      <c r="S103" s="4">
        <v>6.57</v>
      </c>
      <c r="T103">
        <v>174.43790000000001</v>
      </c>
      <c r="U103">
        <v>26141.35186689</v>
      </c>
      <c r="V103"/>
      <c r="W103"/>
    </row>
    <row r="104" spans="1:23" s="4" customFormat="1" x14ac:dyDescent="0.35">
      <c r="A104" s="4" t="s">
        <v>219</v>
      </c>
      <c r="B104" s="4">
        <v>20578</v>
      </c>
      <c r="C104" s="4" t="s">
        <v>37</v>
      </c>
      <c r="D104" s="4" t="s">
        <v>30</v>
      </c>
      <c r="E104" s="4">
        <v>104.6</v>
      </c>
      <c r="F104" s="4">
        <v>82.94</v>
      </c>
      <c r="G104" s="4">
        <v>984</v>
      </c>
      <c r="H104" s="4">
        <v>967</v>
      </c>
      <c r="I104" s="4">
        <v>975.5</v>
      </c>
      <c r="J104" s="4" t="s">
        <v>24</v>
      </c>
      <c r="K104" s="4">
        <v>1990</v>
      </c>
      <c r="L104" s="4" t="s">
        <v>38</v>
      </c>
      <c r="M104" s="5">
        <v>1421.21</v>
      </c>
      <c r="N104" s="4" t="s">
        <v>39</v>
      </c>
      <c r="P104" s="4">
        <v>6.57</v>
      </c>
      <c r="R104" s="4">
        <v>2.4</v>
      </c>
      <c r="S104" s="4">
        <v>6.57</v>
      </c>
      <c r="T104">
        <v>98.835400000000007</v>
      </c>
      <c r="U104">
        <v>26141.931621740001</v>
      </c>
      <c r="V104"/>
      <c r="W104"/>
    </row>
    <row r="105" spans="1:23" s="4" customFormat="1" x14ac:dyDescent="0.35">
      <c r="A105" s="4" t="s">
        <v>220</v>
      </c>
      <c r="B105" s="4">
        <v>20805</v>
      </c>
      <c r="C105" s="4" t="s">
        <v>37</v>
      </c>
      <c r="D105" s="4" t="s">
        <v>30</v>
      </c>
      <c r="E105" s="4">
        <v>104.63</v>
      </c>
      <c r="F105" s="4">
        <v>82.94</v>
      </c>
      <c r="G105" s="4">
        <v>999</v>
      </c>
      <c r="H105" s="4">
        <v>955</v>
      </c>
      <c r="I105" s="4">
        <v>977</v>
      </c>
      <c r="J105" s="4" t="s">
        <v>24</v>
      </c>
      <c r="K105" s="4">
        <v>1990</v>
      </c>
      <c r="L105" s="4" t="s">
        <v>38</v>
      </c>
      <c r="M105" s="5">
        <v>1421.21</v>
      </c>
      <c r="N105" s="4" t="s">
        <v>39</v>
      </c>
      <c r="P105" s="4">
        <v>6.57</v>
      </c>
      <c r="R105" s="4">
        <v>2.4</v>
      </c>
      <c r="S105" s="4">
        <v>6.57</v>
      </c>
      <c r="T105">
        <v>159.5763</v>
      </c>
      <c r="U105">
        <v>26141.672039900001</v>
      </c>
      <c r="V105"/>
      <c r="W105"/>
    </row>
    <row r="106" spans="1:23" s="4" customFormat="1" x14ac:dyDescent="0.35">
      <c r="A106" s="4" t="s">
        <v>221</v>
      </c>
      <c r="B106" s="4">
        <v>21088</v>
      </c>
      <c r="C106" s="4" t="s">
        <v>37</v>
      </c>
      <c r="D106" s="4" t="s">
        <v>30</v>
      </c>
      <c r="E106" s="4">
        <v>104.54</v>
      </c>
      <c r="F106" s="4">
        <v>82.94</v>
      </c>
      <c r="G106" s="4">
        <v>988</v>
      </c>
      <c r="H106" s="4">
        <v>957</v>
      </c>
      <c r="I106" s="4">
        <v>972.5</v>
      </c>
      <c r="J106" s="4" t="s">
        <v>24</v>
      </c>
      <c r="K106" s="4">
        <v>1991</v>
      </c>
      <c r="L106" s="4" t="s">
        <v>38</v>
      </c>
      <c r="M106" s="5">
        <v>1421.21</v>
      </c>
      <c r="N106" s="4" t="s">
        <v>39</v>
      </c>
      <c r="P106" s="4">
        <v>6.57</v>
      </c>
      <c r="R106" s="4">
        <v>2.4</v>
      </c>
      <c r="S106" s="4">
        <v>6.57</v>
      </c>
      <c r="T106">
        <v>115.5796</v>
      </c>
      <c r="U106">
        <v>26141.913768509999</v>
      </c>
      <c r="V106"/>
      <c r="W106"/>
    </row>
    <row r="107" spans="1:23" s="4" customFormat="1" x14ac:dyDescent="0.35">
      <c r="A107" s="4" t="s">
        <v>222</v>
      </c>
      <c r="B107" s="4">
        <v>21090</v>
      </c>
      <c r="C107" s="4" t="s">
        <v>37</v>
      </c>
      <c r="D107" s="4" t="s">
        <v>30</v>
      </c>
      <c r="E107" s="4">
        <v>104.6</v>
      </c>
      <c r="F107" s="4">
        <v>82.92</v>
      </c>
      <c r="G107" s="4">
        <v>990</v>
      </c>
      <c r="H107" s="4">
        <v>961</v>
      </c>
      <c r="I107" s="4">
        <v>975.5</v>
      </c>
      <c r="J107" s="4" t="s">
        <v>24</v>
      </c>
      <c r="K107" s="4">
        <v>1991</v>
      </c>
      <c r="L107" s="4" t="s">
        <v>38</v>
      </c>
      <c r="M107" s="5">
        <v>1421.21</v>
      </c>
      <c r="N107" s="4" t="s">
        <v>39</v>
      </c>
      <c r="P107" s="4">
        <v>6.57</v>
      </c>
      <c r="R107" s="4">
        <v>2.4</v>
      </c>
      <c r="S107" s="4">
        <v>6.57</v>
      </c>
      <c r="T107">
        <v>329.82929999999999</v>
      </c>
      <c r="U107">
        <v>26141.938918529999</v>
      </c>
      <c r="V107"/>
      <c r="W107"/>
    </row>
    <row r="108" spans="1:23" s="4" customFormat="1" x14ac:dyDescent="0.35">
      <c r="A108" s="4" t="s">
        <v>223</v>
      </c>
      <c r="B108" s="4">
        <v>21131</v>
      </c>
      <c r="C108" s="4" t="s">
        <v>37</v>
      </c>
      <c r="D108" s="4" t="s">
        <v>30</v>
      </c>
      <c r="E108" s="4">
        <v>104.3</v>
      </c>
      <c r="F108" s="4">
        <v>82.83</v>
      </c>
      <c r="G108" s="4">
        <v>1008</v>
      </c>
      <c r="H108" s="4">
        <v>916</v>
      </c>
      <c r="I108" s="4">
        <v>962</v>
      </c>
      <c r="J108" s="4" t="s">
        <v>24</v>
      </c>
      <c r="K108" s="4">
        <v>1991</v>
      </c>
      <c r="L108" s="4" t="s">
        <v>38</v>
      </c>
      <c r="M108" s="5">
        <v>1421.21</v>
      </c>
      <c r="N108" s="4" t="s">
        <v>39</v>
      </c>
      <c r="P108" s="4">
        <v>6.57</v>
      </c>
      <c r="R108" s="4">
        <v>2.4</v>
      </c>
      <c r="S108" s="4">
        <v>6.57</v>
      </c>
      <c r="T108"/>
      <c r="U108"/>
      <c r="V108"/>
      <c r="W108"/>
    </row>
    <row r="109" spans="1:23" s="4" customFormat="1" x14ac:dyDescent="0.35">
      <c r="A109" s="4" t="s">
        <v>224</v>
      </c>
      <c r="B109" s="4">
        <v>21153</v>
      </c>
      <c r="C109" s="4" t="s">
        <v>37</v>
      </c>
      <c r="D109" s="4" t="s">
        <v>30</v>
      </c>
      <c r="E109" s="4">
        <v>104.62</v>
      </c>
      <c r="F109" s="4">
        <v>82.92</v>
      </c>
      <c r="G109" s="4">
        <v>999</v>
      </c>
      <c r="H109" s="4">
        <v>954</v>
      </c>
      <c r="I109" s="4">
        <v>976.5</v>
      </c>
      <c r="J109" s="4" t="s">
        <v>24</v>
      </c>
      <c r="K109" s="4">
        <v>1991</v>
      </c>
      <c r="L109" s="4" t="s">
        <v>38</v>
      </c>
      <c r="M109" s="5">
        <v>1421.21</v>
      </c>
      <c r="N109" s="4" t="s">
        <v>39</v>
      </c>
      <c r="P109" s="4">
        <v>6.57</v>
      </c>
      <c r="R109" s="4">
        <v>2.4</v>
      </c>
      <c r="S109" s="4">
        <v>6.57</v>
      </c>
      <c r="T109">
        <v>296.58010000000002</v>
      </c>
      <c r="U109">
        <v>26141.887949619999</v>
      </c>
      <c r="V109"/>
      <c r="W109"/>
    </row>
    <row r="110" spans="1:23" s="4" customFormat="1" x14ac:dyDescent="0.35">
      <c r="A110" s="4" t="s">
        <v>225</v>
      </c>
      <c r="B110" s="4">
        <v>21231</v>
      </c>
      <c r="C110" s="4" t="s">
        <v>37</v>
      </c>
      <c r="D110" s="4" t="s">
        <v>30</v>
      </c>
      <c r="E110" s="4">
        <v>104.64</v>
      </c>
      <c r="F110" s="4">
        <v>82.95</v>
      </c>
      <c r="G110" s="4">
        <v>1004</v>
      </c>
      <c r="H110" s="4">
        <v>951</v>
      </c>
      <c r="I110" s="4">
        <v>977.5</v>
      </c>
      <c r="J110" s="4" t="s">
        <v>24</v>
      </c>
      <c r="K110" s="4">
        <v>1991</v>
      </c>
      <c r="L110" s="4" t="s">
        <v>38</v>
      </c>
      <c r="M110" s="5">
        <v>1421.21</v>
      </c>
      <c r="N110" s="4" t="s">
        <v>39</v>
      </c>
      <c r="P110" s="4">
        <v>6.57</v>
      </c>
      <c r="R110" s="4">
        <v>2.4</v>
      </c>
      <c r="S110" s="4">
        <v>6.57</v>
      </c>
      <c r="T110">
        <v>212.87649999999999</v>
      </c>
      <c r="U110">
        <v>26141.739163800001</v>
      </c>
      <c r="V110"/>
      <c r="W110"/>
    </row>
    <row r="111" spans="1:23" s="4" customFormat="1" x14ac:dyDescent="0.35">
      <c r="A111" s="4" t="s">
        <v>226</v>
      </c>
      <c r="B111" s="4">
        <v>21667</v>
      </c>
      <c r="C111" s="4" t="s">
        <v>37</v>
      </c>
      <c r="D111" s="4" t="s">
        <v>30</v>
      </c>
      <c r="E111" s="4">
        <v>104.71</v>
      </c>
      <c r="F111" s="4">
        <v>82.9</v>
      </c>
      <c r="G111" s="4">
        <v>995</v>
      </c>
      <c r="H111" s="4">
        <v>966</v>
      </c>
      <c r="I111" s="4">
        <v>980.5</v>
      </c>
      <c r="J111" s="4" t="s">
        <v>24</v>
      </c>
      <c r="K111" s="4">
        <v>1991</v>
      </c>
      <c r="L111" s="4" t="s">
        <v>38</v>
      </c>
      <c r="M111" s="5">
        <v>1421.21</v>
      </c>
      <c r="N111" s="4" t="s">
        <v>39</v>
      </c>
      <c r="P111" s="4">
        <v>6.57</v>
      </c>
      <c r="R111" s="4">
        <v>2.4</v>
      </c>
      <c r="S111" s="4">
        <v>6.57</v>
      </c>
      <c r="T111">
        <v>100.6584</v>
      </c>
      <c r="U111">
        <v>26141.935776030001</v>
      </c>
      <c r="V111"/>
      <c r="W111"/>
    </row>
    <row r="112" spans="1:23" s="4" customFormat="1" x14ac:dyDescent="0.35">
      <c r="A112" s="4" t="s">
        <v>227</v>
      </c>
      <c r="B112" s="4">
        <v>21797</v>
      </c>
      <c r="C112" s="4" t="s">
        <v>37</v>
      </c>
      <c r="D112" s="4" t="s">
        <v>30</v>
      </c>
      <c r="E112" s="4">
        <v>104.51</v>
      </c>
      <c r="F112" s="4">
        <v>82.95</v>
      </c>
      <c r="G112" s="4">
        <v>999</v>
      </c>
      <c r="H112" s="4">
        <v>944</v>
      </c>
      <c r="I112" s="4">
        <v>971.5</v>
      </c>
      <c r="J112" s="4" t="s">
        <v>24</v>
      </c>
      <c r="K112" s="4">
        <v>1991</v>
      </c>
      <c r="L112" s="4" t="s">
        <v>38</v>
      </c>
      <c r="M112" s="5">
        <v>1421.21</v>
      </c>
      <c r="N112" s="4" t="s">
        <v>39</v>
      </c>
      <c r="P112" s="4">
        <v>6.57</v>
      </c>
      <c r="R112" s="4">
        <v>2.4</v>
      </c>
      <c r="S112" s="4">
        <v>6.57</v>
      </c>
      <c r="T112">
        <v>160.13030000000001</v>
      </c>
      <c r="U112">
        <v>26141.555343100001</v>
      </c>
      <c r="V112"/>
      <c r="W112"/>
    </row>
    <row r="113" spans="1:23" s="4" customFormat="1" x14ac:dyDescent="0.35">
      <c r="A113" s="4" t="s">
        <v>228</v>
      </c>
      <c r="B113" s="4">
        <v>21876</v>
      </c>
      <c r="C113" s="4" t="s">
        <v>37</v>
      </c>
      <c r="D113" s="4" t="s">
        <v>30</v>
      </c>
      <c r="E113" s="4">
        <v>104.65</v>
      </c>
      <c r="F113" s="4">
        <v>82.93</v>
      </c>
      <c r="G113" s="4">
        <v>1003</v>
      </c>
      <c r="H113" s="4">
        <v>953</v>
      </c>
      <c r="I113" s="4">
        <v>978</v>
      </c>
      <c r="J113" s="4" t="s">
        <v>24</v>
      </c>
      <c r="K113" s="4">
        <v>1992</v>
      </c>
      <c r="L113" s="4" t="s">
        <v>38</v>
      </c>
      <c r="M113" s="5">
        <v>1421.21</v>
      </c>
      <c r="N113" s="4" t="s">
        <v>39</v>
      </c>
      <c r="P113" s="4">
        <v>6.57</v>
      </c>
      <c r="R113" s="4">
        <v>2.4</v>
      </c>
      <c r="S113" s="4">
        <v>6.57</v>
      </c>
      <c r="T113">
        <v>213.44839999999999</v>
      </c>
      <c r="U113">
        <v>26141.741487399999</v>
      </c>
      <c r="V113"/>
      <c r="W113"/>
    </row>
    <row r="114" spans="1:23" s="4" customFormat="1" x14ac:dyDescent="0.35">
      <c r="A114" s="4" t="s">
        <v>229</v>
      </c>
      <c r="B114" s="4">
        <v>21903</v>
      </c>
      <c r="C114" s="4" t="s">
        <v>37</v>
      </c>
      <c r="D114" s="4" t="s">
        <v>30</v>
      </c>
      <c r="E114" s="4">
        <v>104.75</v>
      </c>
      <c r="F114" s="4">
        <v>82.93</v>
      </c>
      <c r="G114" s="4">
        <v>1015</v>
      </c>
      <c r="H114" s="4">
        <v>950</v>
      </c>
      <c r="I114" s="4">
        <v>982.5</v>
      </c>
      <c r="J114" s="4" t="s">
        <v>24</v>
      </c>
      <c r="K114" s="4">
        <v>1992</v>
      </c>
      <c r="L114" s="4" t="s">
        <v>38</v>
      </c>
      <c r="M114" s="5">
        <v>1421.21</v>
      </c>
      <c r="N114" s="4" t="s">
        <v>39</v>
      </c>
      <c r="P114" s="4">
        <v>6.57</v>
      </c>
      <c r="R114" s="4">
        <v>2.4</v>
      </c>
      <c r="S114" s="4">
        <v>6.57</v>
      </c>
      <c r="T114">
        <v>287.98050000000001</v>
      </c>
      <c r="U114">
        <v>26141.931659419999</v>
      </c>
      <c r="V114"/>
      <c r="W114"/>
    </row>
    <row r="115" spans="1:23" s="4" customFormat="1" x14ac:dyDescent="0.35">
      <c r="A115" s="4" t="s">
        <v>230</v>
      </c>
      <c r="B115" s="4">
        <v>21938</v>
      </c>
      <c r="C115" s="4" t="s">
        <v>37</v>
      </c>
      <c r="D115" s="4" t="s">
        <v>30</v>
      </c>
      <c r="E115" s="4">
        <v>104.69</v>
      </c>
      <c r="F115" s="4">
        <v>82.93</v>
      </c>
      <c r="G115" s="4">
        <v>1002</v>
      </c>
      <c r="H115" s="4">
        <v>958</v>
      </c>
      <c r="I115" s="4">
        <v>980</v>
      </c>
      <c r="J115" s="4" t="s">
        <v>24</v>
      </c>
      <c r="K115" s="4">
        <v>1992</v>
      </c>
      <c r="L115" s="4" t="s">
        <v>38</v>
      </c>
      <c r="M115" s="5">
        <v>1421.21</v>
      </c>
      <c r="N115" s="4" t="s">
        <v>39</v>
      </c>
      <c r="P115" s="4">
        <v>6.57</v>
      </c>
      <c r="R115" s="4">
        <v>2.4</v>
      </c>
      <c r="S115" s="4">
        <v>6.57</v>
      </c>
      <c r="T115">
        <v>99.351699999999994</v>
      </c>
      <c r="U115">
        <v>26141.94030387</v>
      </c>
      <c r="V115"/>
      <c r="W115"/>
    </row>
    <row r="116" spans="1:23" s="4" customFormat="1" x14ac:dyDescent="0.35">
      <c r="A116" s="4" t="s">
        <v>231</v>
      </c>
      <c r="B116" s="4">
        <v>22007</v>
      </c>
      <c r="C116" s="4" t="s">
        <v>37</v>
      </c>
      <c r="D116" s="4" t="s">
        <v>30</v>
      </c>
      <c r="E116" s="4">
        <v>104.48</v>
      </c>
      <c r="F116" s="4">
        <v>82.93</v>
      </c>
      <c r="G116" s="4">
        <v>991</v>
      </c>
      <c r="H116" s="4">
        <v>949</v>
      </c>
      <c r="I116" s="4">
        <v>970</v>
      </c>
      <c r="J116" s="4" t="s">
        <v>24</v>
      </c>
      <c r="K116" s="4">
        <v>1992</v>
      </c>
      <c r="L116" s="4" t="s">
        <v>38</v>
      </c>
      <c r="M116" s="5">
        <v>1421.21</v>
      </c>
      <c r="N116" s="4" t="s">
        <v>39</v>
      </c>
      <c r="P116" s="4">
        <v>6.57</v>
      </c>
      <c r="R116" s="4">
        <v>2.4</v>
      </c>
      <c r="S116" s="4">
        <v>6.57</v>
      </c>
      <c r="T116">
        <v>29.819299999999998</v>
      </c>
      <c r="U116">
        <v>26141.794229399999</v>
      </c>
      <c r="V116"/>
      <c r="W116"/>
    </row>
    <row r="117" spans="1:23" s="4" customFormat="1" x14ac:dyDescent="0.35">
      <c r="A117" s="4" t="s">
        <v>232</v>
      </c>
      <c r="B117" s="4">
        <v>22208</v>
      </c>
      <c r="C117" s="4" t="s">
        <v>37</v>
      </c>
      <c r="D117" s="4" t="s">
        <v>30</v>
      </c>
      <c r="E117" s="4">
        <v>104.69</v>
      </c>
      <c r="F117" s="4">
        <v>82.92</v>
      </c>
      <c r="G117" s="4">
        <v>1005</v>
      </c>
      <c r="H117" s="4">
        <v>955</v>
      </c>
      <c r="I117" s="4">
        <v>980</v>
      </c>
      <c r="J117" s="4" t="s">
        <v>24</v>
      </c>
      <c r="K117" s="4">
        <v>1992</v>
      </c>
      <c r="L117" s="4" t="s">
        <v>38</v>
      </c>
      <c r="M117" s="5">
        <v>1421.21</v>
      </c>
      <c r="N117" s="4" t="s">
        <v>39</v>
      </c>
      <c r="P117" s="4">
        <v>6.57</v>
      </c>
      <c r="R117" s="4">
        <v>2.4</v>
      </c>
      <c r="S117" s="4">
        <v>6.57</v>
      </c>
      <c r="T117">
        <v>118.154</v>
      </c>
      <c r="U117">
        <v>26141.925422209999</v>
      </c>
      <c r="V117"/>
      <c r="W117"/>
    </row>
    <row r="118" spans="1:23" s="4" customFormat="1" x14ac:dyDescent="0.35">
      <c r="A118" s="4" t="s">
        <v>233</v>
      </c>
      <c r="B118" s="4">
        <v>22308</v>
      </c>
      <c r="C118" s="4" t="s">
        <v>37</v>
      </c>
      <c r="D118" s="4" t="s">
        <v>30</v>
      </c>
      <c r="E118" s="4">
        <v>104.65</v>
      </c>
      <c r="F118" s="4">
        <v>82.93</v>
      </c>
      <c r="G118" s="4">
        <v>996</v>
      </c>
      <c r="H118" s="4">
        <v>960</v>
      </c>
      <c r="I118" s="4">
        <v>978</v>
      </c>
      <c r="J118" s="4" t="s">
        <v>24</v>
      </c>
      <c r="K118" s="4">
        <v>1993</v>
      </c>
      <c r="L118" s="4" t="s">
        <v>38</v>
      </c>
      <c r="M118" s="5">
        <v>1421.21</v>
      </c>
      <c r="N118" s="4" t="s">
        <v>39</v>
      </c>
      <c r="P118" s="4">
        <v>6.57</v>
      </c>
      <c r="R118" s="4">
        <v>2.4</v>
      </c>
      <c r="S118" s="4">
        <v>6.57</v>
      </c>
      <c r="T118">
        <v>267.01490000000001</v>
      </c>
      <c r="U118">
        <v>26141.911233070001</v>
      </c>
      <c r="V118"/>
      <c r="W118"/>
    </row>
    <row r="119" spans="1:23" s="4" customFormat="1" x14ac:dyDescent="0.35">
      <c r="A119" s="4" t="s">
        <v>234</v>
      </c>
      <c r="B119" s="4">
        <v>22488</v>
      </c>
      <c r="C119" s="4" t="s">
        <v>37</v>
      </c>
      <c r="D119" s="4" t="s">
        <v>30</v>
      </c>
      <c r="E119" s="4">
        <v>104.5</v>
      </c>
      <c r="F119" s="4">
        <v>82.94</v>
      </c>
      <c r="G119" s="4">
        <v>991</v>
      </c>
      <c r="H119" s="4">
        <v>951</v>
      </c>
      <c r="I119" s="4">
        <v>971</v>
      </c>
      <c r="J119" s="4" t="s">
        <v>24</v>
      </c>
      <c r="K119" s="4">
        <v>1993</v>
      </c>
      <c r="L119" s="4" t="s">
        <v>38</v>
      </c>
      <c r="M119" s="5">
        <v>1421.21</v>
      </c>
      <c r="N119" s="4" t="s">
        <v>39</v>
      </c>
      <c r="P119" s="4">
        <v>6.57</v>
      </c>
      <c r="R119" s="4">
        <v>2.4</v>
      </c>
      <c r="S119" s="4">
        <v>6.57</v>
      </c>
      <c r="T119">
        <v>171.9177</v>
      </c>
      <c r="U119">
        <v>26141.354356740001</v>
      </c>
      <c r="V119"/>
      <c r="W119"/>
    </row>
    <row r="120" spans="1:23" s="4" customFormat="1" x14ac:dyDescent="0.35">
      <c r="A120" s="4" t="s">
        <v>235</v>
      </c>
      <c r="B120" s="4">
        <v>22591</v>
      </c>
      <c r="C120" s="4" t="s">
        <v>37</v>
      </c>
      <c r="D120" s="4" t="s">
        <v>30</v>
      </c>
      <c r="E120" s="4">
        <v>104.52</v>
      </c>
      <c r="F120" s="4">
        <v>82.93</v>
      </c>
      <c r="G120" s="4">
        <v>989</v>
      </c>
      <c r="H120" s="4">
        <v>954</v>
      </c>
      <c r="I120" s="4">
        <v>971.5</v>
      </c>
      <c r="J120" s="4" t="s">
        <v>24</v>
      </c>
      <c r="K120" s="4">
        <v>1993</v>
      </c>
      <c r="L120" s="4" t="s">
        <v>38</v>
      </c>
      <c r="M120" s="5">
        <v>1421.21</v>
      </c>
      <c r="N120" s="4" t="s">
        <v>39</v>
      </c>
      <c r="P120" s="4">
        <v>6.57</v>
      </c>
      <c r="R120" s="4">
        <v>2.4</v>
      </c>
      <c r="S120" s="4">
        <v>6.57</v>
      </c>
      <c r="T120">
        <v>129.58949999999999</v>
      </c>
      <c r="U120">
        <v>26141.944611520001</v>
      </c>
      <c r="V120"/>
      <c r="W120"/>
    </row>
    <row r="121" spans="1:23" s="4" customFormat="1" x14ac:dyDescent="0.35">
      <c r="A121" s="4" t="s">
        <v>236</v>
      </c>
      <c r="B121" s="4">
        <v>22889</v>
      </c>
      <c r="C121" s="4" t="s">
        <v>37</v>
      </c>
      <c r="D121" s="4" t="s">
        <v>30</v>
      </c>
      <c r="E121" s="4">
        <v>104.48</v>
      </c>
      <c r="F121" s="4">
        <v>82.95</v>
      </c>
      <c r="G121" s="4">
        <v>1007</v>
      </c>
      <c r="H121" s="4">
        <v>933</v>
      </c>
      <c r="I121" s="4">
        <v>970</v>
      </c>
      <c r="J121" s="4" t="s">
        <v>24</v>
      </c>
      <c r="K121" s="4">
        <v>1993</v>
      </c>
      <c r="L121" s="4" t="s">
        <v>38</v>
      </c>
      <c r="M121" s="5">
        <v>1421.21</v>
      </c>
      <c r="N121" s="4" t="s">
        <v>39</v>
      </c>
      <c r="P121" s="4">
        <v>6.57</v>
      </c>
      <c r="R121" s="4">
        <v>2.4</v>
      </c>
      <c r="S121" s="4">
        <v>6.57</v>
      </c>
      <c r="T121">
        <v>51.068800000000003</v>
      </c>
      <c r="U121">
        <v>26141.876914699998</v>
      </c>
      <c r="V121"/>
      <c r="W121"/>
    </row>
    <row r="122" spans="1:23" s="4" customFormat="1" x14ac:dyDescent="0.35">
      <c r="A122" s="4" t="s">
        <v>237</v>
      </c>
      <c r="B122" s="4">
        <v>23093</v>
      </c>
      <c r="C122" s="4" t="s">
        <v>37</v>
      </c>
      <c r="D122" s="4" t="s">
        <v>30</v>
      </c>
      <c r="E122" s="4">
        <v>104.48</v>
      </c>
      <c r="F122" s="4">
        <v>82.95</v>
      </c>
      <c r="G122" s="4">
        <v>976</v>
      </c>
      <c r="H122" s="4">
        <v>964</v>
      </c>
      <c r="I122" s="4">
        <v>970</v>
      </c>
      <c r="J122" s="4" t="s">
        <v>24</v>
      </c>
      <c r="K122" s="4">
        <v>1994</v>
      </c>
      <c r="L122" s="4" t="s">
        <v>38</v>
      </c>
      <c r="M122" s="5">
        <v>1421.21</v>
      </c>
      <c r="N122" s="4" t="s">
        <v>39</v>
      </c>
      <c r="P122" s="4">
        <v>6.57</v>
      </c>
      <c r="R122" s="4">
        <v>2.4</v>
      </c>
      <c r="S122" s="4">
        <v>6.57</v>
      </c>
      <c r="T122">
        <v>208.35769999999999</v>
      </c>
      <c r="U122">
        <v>26141.727916799999</v>
      </c>
      <c r="V122"/>
      <c r="W122"/>
    </row>
    <row r="123" spans="1:23" s="4" customFormat="1" x14ac:dyDescent="0.35">
      <c r="A123" s="4" t="s">
        <v>238</v>
      </c>
      <c r="B123" s="4">
        <v>23180</v>
      </c>
      <c r="C123" s="4" t="s">
        <v>37</v>
      </c>
      <c r="D123" s="4" t="s">
        <v>30</v>
      </c>
      <c r="E123" s="4">
        <v>104.48</v>
      </c>
      <c r="F123" s="4">
        <v>82.95</v>
      </c>
      <c r="G123" s="4">
        <v>992</v>
      </c>
      <c r="H123" s="4">
        <v>948</v>
      </c>
      <c r="I123" s="4">
        <v>970</v>
      </c>
      <c r="J123" s="4" t="s">
        <v>24</v>
      </c>
      <c r="K123" s="4">
        <v>1994</v>
      </c>
      <c r="L123" s="4" t="s">
        <v>38</v>
      </c>
      <c r="M123" s="5">
        <v>1421.21</v>
      </c>
      <c r="N123" s="4" t="s">
        <v>39</v>
      </c>
      <c r="P123" s="4">
        <v>6.57</v>
      </c>
      <c r="R123" s="4">
        <v>2.4</v>
      </c>
      <c r="S123" s="4">
        <v>6.57</v>
      </c>
      <c r="T123">
        <v>24.343900000000001</v>
      </c>
      <c r="U123">
        <v>26141.79529201</v>
      </c>
      <c r="V123"/>
      <c r="W123"/>
    </row>
    <row r="124" spans="1:23" s="4" customFormat="1" x14ac:dyDescent="0.35">
      <c r="A124" s="4" t="s">
        <v>239</v>
      </c>
      <c r="B124" s="4">
        <v>23466</v>
      </c>
      <c r="C124" s="4" t="s">
        <v>37</v>
      </c>
      <c r="D124" s="4" t="s">
        <v>30</v>
      </c>
      <c r="E124" s="4">
        <v>104.75</v>
      </c>
      <c r="F124" s="4">
        <v>82.93</v>
      </c>
      <c r="G124" s="4">
        <v>1008</v>
      </c>
      <c r="H124" s="4">
        <v>957</v>
      </c>
      <c r="I124" s="4">
        <v>982.5</v>
      </c>
      <c r="J124" s="4" t="s">
        <v>24</v>
      </c>
      <c r="K124" s="4">
        <v>1995</v>
      </c>
      <c r="L124" s="4" t="s">
        <v>240</v>
      </c>
      <c r="M124" s="5">
        <v>1421.21</v>
      </c>
      <c r="N124" s="4" t="s">
        <v>39</v>
      </c>
      <c r="P124" s="4">
        <v>6.57</v>
      </c>
      <c r="R124" s="4">
        <v>2.4</v>
      </c>
      <c r="S124" s="4">
        <v>6.57</v>
      </c>
      <c r="T124">
        <v>6.5961999999999996</v>
      </c>
      <c r="U124">
        <v>26141.40520008</v>
      </c>
      <c r="V124"/>
      <c r="W124"/>
    </row>
    <row r="125" spans="1:23" s="4" customFormat="1" x14ac:dyDescent="0.35">
      <c r="A125" s="4" t="s">
        <v>241</v>
      </c>
      <c r="B125" s="4">
        <v>23527</v>
      </c>
      <c r="C125" s="4" t="s">
        <v>37</v>
      </c>
      <c r="D125" s="4" t="s">
        <v>30</v>
      </c>
      <c r="E125" s="4">
        <v>104.81</v>
      </c>
      <c r="F125" s="4">
        <v>82.94</v>
      </c>
      <c r="G125" s="4">
        <v>999</v>
      </c>
      <c r="H125" s="4">
        <v>972</v>
      </c>
      <c r="I125" s="4">
        <v>985.5</v>
      </c>
      <c r="J125" s="4" t="s">
        <v>24</v>
      </c>
      <c r="K125" s="4">
        <v>1995</v>
      </c>
      <c r="L125" s="4" t="s">
        <v>38</v>
      </c>
      <c r="M125" s="5">
        <v>1421.21</v>
      </c>
      <c r="N125" s="4" t="s">
        <v>39</v>
      </c>
      <c r="P125" s="4">
        <v>6.57</v>
      </c>
      <c r="R125" s="4">
        <v>2.4</v>
      </c>
      <c r="S125" s="4">
        <v>6.57</v>
      </c>
      <c r="T125">
        <v>141.69290000000001</v>
      </c>
      <c r="U125">
        <v>26141.614410360002</v>
      </c>
      <c r="V125"/>
      <c r="W125"/>
    </row>
    <row r="126" spans="1:23" s="4" customFormat="1" x14ac:dyDescent="0.35">
      <c r="A126" s="4" t="s">
        <v>242</v>
      </c>
      <c r="B126" s="4">
        <v>23604</v>
      </c>
      <c r="C126" s="4" t="s">
        <v>37</v>
      </c>
      <c r="D126" s="4" t="s">
        <v>30</v>
      </c>
      <c r="E126" s="4">
        <v>104.76</v>
      </c>
      <c r="F126" s="4">
        <v>82.9</v>
      </c>
      <c r="G126" s="4">
        <v>1001</v>
      </c>
      <c r="H126" s="4">
        <v>966</v>
      </c>
      <c r="I126" s="4">
        <v>983.5</v>
      </c>
      <c r="J126" s="4" t="s">
        <v>24</v>
      </c>
      <c r="K126" s="4">
        <v>1995</v>
      </c>
      <c r="L126" s="4" t="s">
        <v>38</v>
      </c>
      <c r="M126" s="5">
        <v>1421.21</v>
      </c>
      <c r="N126" s="4" t="s">
        <v>39</v>
      </c>
      <c r="P126" s="4">
        <v>6.57</v>
      </c>
      <c r="R126" s="4">
        <v>2.4</v>
      </c>
      <c r="S126" s="4">
        <v>6.57</v>
      </c>
      <c r="T126">
        <v>250.68459999999999</v>
      </c>
      <c r="U126">
        <v>26141.75569487</v>
      </c>
      <c r="V126"/>
      <c r="W126"/>
    </row>
    <row r="127" spans="1:23" s="4" customFormat="1" x14ac:dyDescent="0.35">
      <c r="A127" s="4" t="s">
        <v>243</v>
      </c>
      <c r="B127" s="4">
        <v>23774</v>
      </c>
      <c r="C127" s="4" t="s">
        <v>37</v>
      </c>
      <c r="D127" s="4" t="s">
        <v>30</v>
      </c>
      <c r="E127" s="4">
        <v>104.59</v>
      </c>
      <c r="F127" s="4">
        <v>82.98</v>
      </c>
      <c r="G127" s="4">
        <v>1006</v>
      </c>
      <c r="H127" s="4">
        <v>944</v>
      </c>
      <c r="I127" s="4">
        <v>975</v>
      </c>
      <c r="J127" s="4" t="s">
        <v>24</v>
      </c>
      <c r="K127" s="4">
        <v>1996</v>
      </c>
      <c r="L127" s="4" t="s">
        <v>38</v>
      </c>
      <c r="M127" s="5">
        <v>1421.21</v>
      </c>
      <c r="N127" s="4" t="s">
        <v>39</v>
      </c>
      <c r="P127" s="4">
        <v>6.57</v>
      </c>
      <c r="R127" s="4">
        <v>2.4</v>
      </c>
      <c r="S127" s="4">
        <v>6.57</v>
      </c>
      <c r="T127">
        <v>111.62220000000001</v>
      </c>
      <c r="U127">
        <v>26141.93013493</v>
      </c>
      <c r="V127"/>
      <c r="W127"/>
    </row>
    <row r="128" spans="1:23" s="4" customFormat="1" x14ac:dyDescent="0.35">
      <c r="A128" s="4" t="s">
        <v>244</v>
      </c>
      <c r="B128" s="4">
        <v>24306</v>
      </c>
      <c r="C128" s="4" t="s">
        <v>37</v>
      </c>
      <c r="D128" s="4" t="s">
        <v>30</v>
      </c>
      <c r="E128" s="4">
        <v>104.71</v>
      </c>
      <c r="F128" s="4">
        <v>82.93</v>
      </c>
      <c r="G128" s="4">
        <v>1000</v>
      </c>
      <c r="H128" s="4">
        <v>962</v>
      </c>
      <c r="I128" s="4">
        <v>981</v>
      </c>
      <c r="J128" s="4" t="s">
        <v>24</v>
      </c>
      <c r="K128" s="4">
        <v>1996</v>
      </c>
      <c r="L128" s="4" t="s">
        <v>106</v>
      </c>
      <c r="M128" s="5">
        <v>1421.21</v>
      </c>
      <c r="N128" s="4" t="s">
        <v>39</v>
      </c>
      <c r="P128" s="4">
        <v>6.57</v>
      </c>
      <c r="R128" s="4">
        <v>2.4</v>
      </c>
      <c r="S128" s="4">
        <v>6.57</v>
      </c>
      <c r="T128">
        <v>82.339500000000001</v>
      </c>
      <c r="U128">
        <v>26141.902384339999</v>
      </c>
      <c r="V128"/>
      <c r="W128"/>
    </row>
    <row r="129" spans="1:23" s="4" customFormat="1" x14ac:dyDescent="0.35">
      <c r="A129" s="4" t="s">
        <v>245</v>
      </c>
      <c r="B129" s="4">
        <v>24678</v>
      </c>
      <c r="C129" s="4" t="s">
        <v>37</v>
      </c>
      <c r="D129" s="4" t="s">
        <v>30</v>
      </c>
      <c r="E129" s="4">
        <v>104.82</v>
      </c>
      <c r="F129" s="4">
        <v>82.94</v>
      </c>
      <c r="G129" s="4">
        <v>1003</v>
      </c>
      <c r="H129" s="4">
        <v>969</v>
      </c>
      <c r="I129" s="4">
        <v>986</v>
      </c>
      <c r="J129" s="4" t="s">
        <v>24</v>
      </c>
      <c r="K129" s="4">
        <v>1996</v>
      </c>
      <c r="L129" s="4" t="s">
        <v>38</v>
      </c>
      <c r="M129" s="5">
        <v>1421.21</v>
      </c>
      <c r="N129" s="4" t="s">
        <v>39</v>
      </c>
      <c r="P129" s="4">
        <v>6.57</v>
      </c>
      <c r="R129" s="4">
        <v>2.4</v>
      </c>
      <c r="S129" s="4">
        <v>6.57</v>
      </c>
      <c r="T129">
        <v>196.8032</v>
      </c>
      <c r="U129">
        <v>26141.4349736</v>
      </c>
      <c r="V129"/>
      <c r="W129"/>
    </row>
    <row r="130" spans="1:23" s="4" customFormat="1" x14ac:dyDescent="0.35">
      <c r="A130" s="4" t="s">
        <v>246</v>
      </c>
      <c r="B130" s="4">
        <v>24773</v>
      </c>
      <c r="C130" s="4" t="s">
        <v>37</v>
      </c>
      <c r="D130" s="4" t="s">
        <v>30</v>
      </c>
      <c r="E130" s="4">
        <v>104.81</v>
      </c>
      <c r="F130" s="4">
        <v>82.92</v>
      </c>
      <c r="G130" s="4">
        <v>1002</v>
      </c>
      <c r="H130" s="4">
        <v>968</v>
      </c>
      <c r="I130" s="4">
        <v>985</v>
      </c>
      <c r="J130" s="4" t="s">
        <v>24</v>
      </c>
      <c r="K130" s="4">
        <v>1997</v>
      </c>
      <c r="L130" s="4" t="s">
        <v>38</v>
      </c>
      <c r="M130" s="5">
        <v>1421.21</v>
      </c>
      <c r="N130" s="4" t="s">
        <v>39</v>
      </c>
      <c r="P130" s="4">
        <v>6.57</v>
      </c>
      <c r="R130" s="4">
        <v>2.4</v>
      </c>
      <c r="S130" s="4">
        <v>6.57</v>
      </c>
      <c r="T130">
        <v>116.1425</v>
      </c>
      <c r="U130">
        <v>26141.924650600002</v>
      </c>
      <c r="V130"/>
      <c r="W130"/>
    </row>
    <row r="131" spans="1:23" s="4" customFormat="1" x14ac:dyDescent="0.35">
      <c r="A131" s="4" t="s">
        <v>247</v>
      </c>
      <c r="B131" s="4">
        <v>24955</v>
      </c>
      <c r="C131" s="4" t="s">
        <v>37</v>
      </c>
      <c r="D131" s="4" t="s">
        <v>30</v>
      </c>
      <c r="E131" s="4">
        <v>104.2</v>
      </c>
      <c r="F131" s="4">
        <v>82.92</v>
      </c>
      <c r="G131" s="4">
        <v>979</v>
      </c>
      <c r="H131" s="4">
        <v>936</v>
      </c>
      <c r="I131" s="4">
        <v>957.5</v>
      </c>
      <c r="J131" s="4" t="s">
        <v>24</v>
      </c>
      <c r="K131" s="4">
        <v>1997</v>
      </c>
      <c r="L131" s="4" t="s">
        <v>106</v>
      </c>
      <c r="M131" s="5">
        <v>1421.21</v>
      </c>
      <c r="N131" s="4" t="s">
        <v>39</v>
      </c>
      <c r="P131" s="4">
        <v>6.57</v>
      </c>
      <c r="R131" s="4">
        <v>2.4</v>
      </c>
      <c r="S131" s="4">
        <v>6.57</v>
      </c>
      <c r="T131">
        <v>341.45400000000001</v>
      </c>
      <c r="U131">
        <v>26141.936812610002</v>
      </c>
      <c r="V131"/>
      <c r="W131"/>
    </row>
    <row r="132" spans="1:23" s="4" customFormat="1" x14ac:dyDescent="0.35">
      <c r="A132" s="4" t="s">
        <v>248</v>
      </c>
      <c r="B132" s="4">
        <v>25569</v>
      </c>
      <c r="C132" s="4" t="s">
        <v>37</v>
      </c>
      <c r="D132" s="4" t="s">
        <v>30</v>
      </c>
      <c r="E132" s="4">
        <v>104.77</v>
      </c>
      <c r="F132" s="4">
        <v>82.94</v>
      </c>
      <c r="G132" s="4">
        <v>1000</v>
      </c>
      <c r="H132" s="4">
        <v>967</v>
      </c>
      <c r="I132" s="4">
        <v>983.5</v>
      </c>
      <c r="J132" s="4" t="s">
        <v>24</v>
      </c>
      <c r="K132" s="4">
        <v>1998</v>
      </c>
      <c r="L132" s="4" t="s">
        <v>106</v>
      </c>
      <c r="M132" s="5">
        <v>1421.21</v>
      </c>
      <c r="N132" s="4" t="s">
        <v>39</v>
      </c>
      <c r="P132" s="4">
        <v>6.57</v>
      </c>
      <c r="R132" s="4">
        <v>2.4</v>
      </c>
      <c r="S132" s="4">
        <v>6.57</v>
      </c>
      <c r="T132">
        <v>77.750299999999996</v>
      </c>
      <c r="U132">
        <v>26141.95022454</v>
      </c>
      <c r="V132"/>
      <c r="W132"/>
    </row>
    <row r="133" spans="1:23" s="4" customFormat="1" x14ac:dyDescent="0.35">
      <c r="A133" s="4" t="s">
        <v>249</v>
      </c>
      <c r="B133" s="4">
        <v>25592</v>
      </c>
      <c r="C133" s="4" t="s">
        <v>37</v>
      </c>
      <c r="D133" s="4" t="s">
        <v>30</v>
      </c>
      <c r="E133" s="4">
        <v>104.77</v>
      </c>
      <c r="F133" s="4">
        <v>82.94</v>
      </c>
      <c r="G133" s="4">
        <v>1003</v>
      </c>
      <c r="H133" s="4">
        <v>964</v>
      </c>
      <c r="I133" s="4">
        <v>983.5</v>
      </c>
      <c r="J133" s="4" t="s">
        <v>24</v>
      </c>
      <c r="K133" s="4">
        <v>1998</v>
      </c>
      <c r="L133" s="4" t="s">
        <v>38</v>
      </c>
      <c r="M133" s="5">
        <v>1421.21</v>
      </c>
      <c r="N133" s="4" t="s">
        <v>39</v>
      </c>
      <c r="P133" s="4">
        <v>6.57</v>
      </c>
      <c r="R133" s="4">
        <v>2.4</v>
      </c>
      <c r="S133" s="4">
        <v>6.57</v>
      </c>
      <c r="T133">
        <v>211.9237</v>
      </c>
      <c r="U133">
        <v>26141.453868529999</v>
      </c>
      <c r="V133"/>
      <c r="W133"/>
    </row>
    <row r="134" spans="1:23" s="4" customFormat="1" x14ac:dyDescent="0.35">
      <c r="A134" s="4" t="s">
        <v>250</v>
      </c>
      <c r="B134" s="4">
        <v>25893</v>
      </c>
      <c r="C134" s="4" t="s">
        <v>37</v>
      </c>
      <c r="D134" s="4" t="s">
        <v>30</v>
      </c>
      <c r="E134" s="4">
        <v>104.59</v>
      </c>
      <c r="F134" s="4">
        <v>82.92</v>
      </c>
      <c r="G134" s="4">
        <v>997</v>
      </c>
      <c r="H134" s="4">
        <v>954</v>
      </c>
      <c r="I134" s="4">
        <v>975.5</v>
      </c>
      <c r="J134" s="4" t="s">
        <v>24</v>
      </c>
      <c r="K134" s="4">
        <v>1999</v>
      </c>
      <c r="L134" s="4" t="s">
        <v>38</v>
      </c>
      <c r="M134" s="5">
        <v>1434</v>
      </c>
      <c r="N134" s="4" t="s">
        <v>39</v>
      </c>
      <c r="P134" s="4">
        <v>4.2</v>
      </c>
      <c r="R134" s="4">
        <v>2.4</v>
      </c>
      <c r="S134" s="4">
        <v>4.2</v>
      </c>
      <c r="T134">
        <v>116.89409999999999</v>
      </c>
      <c r="U134">
        <v>26141.938888870001</v>
      </c>
      <c r="V134"/>
      <c r="W134"/>
    </row>
    <row r="135" spans="1:23" s="4" customFormat="1" x14ac:dyDescent="0.35">
      <c r="A135" s="4" t="s">
        <v>251</v>
      </c>
      <c r="B135" s="4">
        <v>26819</v>
      </c>
      <c r="C135" s="4" t="s">
        <v>37</v>
      </c>
      <c r="D135" s="4" t="s">
        <v>30</v>
      </c>
      <c r="E135" s="4">
        <v>104.66</v>
      </c>
      <c r="F135" s="4">
        <v>82.93</v>
      </c>
      <c r="G135" s="4">
        <v>996</v>
      </c>
      <c r="H135" s="4">
        <v>960</v>
      </c>
      <c r="I135" s="4">
        <v>978</v>
      </c>
      <c r="J135" s="4" t="s">
        <v>24</v>
      </c>
      <c r="K135" s="4">
        <v>2001</v>
      </c>
      <c r="L135" s="4" t="s">
        <v>38</v>
      </c>
      <c r="M135" s="5">
        <v>1434</v>
      </c>
      <c r="N135" s="4" t="s">
        <v>39</v>
      </c>
      <c r="P135" s="4">
        <v>4.2</v>
      </c>
      <c r="R135" s="4">
        <v>2.4</v>
      </c>
      <c r="S135" s="4">
        <v>4.2</v>
      </c>
      <c r="T135">
        <v>219.88220000000001</v>
      </c>
      <c r="U135">
        <v>26141.745175690001</v>
      </c>
      <c r="V135"/>
      <c r="W135"/>
    </row>
    <row r="136" spans="1:23" s="4" customFormat="1" x14ac:dyDescent="0.35">
      <c r="A136" s="4" t="s">
        <v>252</v>
      </c>
      <c r="B136" s="4">
        <v>27437</v>
      </c>
      <c r="C136" s="4" t="s">
        <v>37</v>
      </c>
      <c r="D136" s="4" t="s">
        <v>30</v>
      </c>
      <c r="E136" s="4">
        <v>104.58</v>
      </c>
      <c r="F136" s="4">
        <v>82.95</v>
      </c>
      <c r="G136" s="4">
        <v>1006</v>
      </c>
      <c r="H136" s="4">
        <v>944</v>
      </c>
      <c r="I136" s="4">
        <v>975</v>
      </c>
      <c r="J136" s="4" t="s">
        <v>24</v>
      </c>
      <c r="K136" s="4">
        <v>2002</v>
      </c>
      <c r="L136" s="4" t="s">
        <v>38</v>
      </c>
      <c r="M136" s="5">
        <v>1434</v>
      </c>
      <c r="N136" s="4" t="s">
        <v>39</v>
      </c>
      <c r="P136" s="4">
        <v>4.2</v>
      </c>
      <c r="R136" s="4">
        <v>2.4</v>
      </c>
      <c r="S136" s="4">
        <v>4.2</v>
      </c>
      <c r="T136">
        <v>169.76240000000001</v>
      </c>
      <c r="U136">
        <v>26141.581266609999</v>
      </c>
      <c r="V136"/>
      <c r="W136"/>
    </row>
    <row r="137" spans="1:23" s="4" customFormat="1" x14ac:dyDescent="0.35">
      <c r="A137" s="4" t="s">
        <v>253</v>
      </c>
      <c r="B137" s="4">
        <v>27535</v>
      </c>
      <c r="C137" s="4" t="s">
        <v>37</v>
      </c>
      <c r="D137" s="4" t="s">
        <v>30</v>
      </c>
      <c r="E137" s="4">
        <v>104.75</v>
      </c>
      <c r="F137" s="4">
        <v>82.93</v>
      </c>
      <c r="G137" s="4">
        <v>1010</v>
      </c>
      <c r="H137" s="4">
        <v>955</v>
      </c>
      <c r="I137" s="4">
        <v>982.5</v>
      </c>
      <c r="J137" s="4" t="s">
        <v>24</v>
      </c>
      <c r="K137" s="4">
        <v>2002</v>
      </c>
      <c r="L137" s="4" t="s">
        <v>38</v>
      </c>
      <c r="M137" s="5">
        <v>1434</v>
      </c>
      <c r="N137" s="4" t="s">
        <v>39</v>
      </c>
      <c r="P137" s="4">
        <v>6</v>
      </c>
      <c r="R137" s="4">
        <v>2.4</v>
      </c>
      <c r="S137" s="4">
        <v>6</v>
      </c>
      <c r="T137">
        <v>329.8048</v>
      </c>
      <c r="U137">
        <v>26141.893354719999</v>
      </c>
      <c r="V137"/>
      <c r="W137"/>
    </row>
    <row r="138" spans="1:23" s="4" customFormat="1" x14ac:dyDescent="0.35">
      <c r="A138" s="4" t="s">
        <v>254</v>
      </c>
      <c r="B138" s="4">
        <v>27819</v>
      </c>
      <c r="C138" s="4" t="s">
        <v>37</v>
      </c>
      <c r="D138" s="4" t="s">
        <v>30</v>
      </c>
      <c r="E138" s="4">
        <v>104.76</v>
      </c>
      <c r="F138" s="4">
        <v>82.95</v>
      </c>
      <c r="G138" s="4">
        <v>1018</v>
      </c>
      <c r="H138" s="4">
        <v>949</v>
      </c>
      <c r="I138" s="4">
        <v>983.5</v>
      </c>
      <c r="J138" s="4" t="s">
        <v>24</v>
      </c>
      <c r="K138" s="4">
        <v>2003</v>
      </c>
      <c r="L138" s="4" t="s">
        <v>38</v>
      </c>
      <c r="M138" s="5">
        <v>1434</v>
      </c>
      <c r="N138" s="4" t="s">
        <v>39</v>
      </c>
      <c r="P138" s="4">
        <v>4.2</v>
      </c>
      <c r="R138" s="4">
        <v>2.4</v>
      </c>
      <c r="S138" s="4">
        <v>4.2</v>
      </c>
      <c r="T138">
        <v>133.8143</v>
      </c>
      <c r="U138">
        <v>26141.92154263</v>
      </c>
      <c r="V138"/>
      <c r="W138"/>
    </row>
    <row r="139" spans="1:23" s="4" customFormat="1" x14ac:dyDescent="0.35">
      <c r="A139" s="4" t="s">
        <v>255</v>
      </c>
      <c r="B139" s="4">
        <v>28381</v>
      </c>
      <c r="C139" s="4" t="s">
        <v>37</v>
      </c>
      <c r="D139" s="4" t="s">
        <v>30</v>
      </c>
      <c r="E139" s="4">
        <v>104.45</v>
      </c>
      <c r="F139" s="4">
        <v>82.96</v>
      </c>
      <c r="G139" s="4">
        <v>991</v>
      </c>
      <c r="H139" s="4">
        <v>946</v>
      </c>
      <c r="I139" s="4">
        <v>968.5</v>
      </c>
      <c r="J139" s="4" t="s">
        <v>24</v>
      </c>
      <c r="K139" s="4">
        <v>2004</v>
      </c>
      <c r="L139" s="4" t="s">
        <v>38</v>
      </c>
      <c r="M139" s="5">
        <v>1434</v>
      </c>
      <c r="N139" s="4" t="s">
        <v>39</v>
      </c>
      <c r="P139" s="4">
        <v>4.2</v>
      </c>
      <c r="R139" s="4">
        <v>2.4</v>
      </c>
      <c r="S139" s="4">
        <v>4.2</v>
      </c>
      <c r="T139">
        <v>70.876599999999996</v>
      </c>
      <c r="U139">
        <v>26141.89171874</v>
      </c>
      <c r="V139"/>
      <c r="W139"/>
    </row>
    <row r="140" spans="1:23" s="4" customFormat="1" x14ac:dyDescent="0.35">
      <c r="A140" s="4" t="s">
        <v>256</v>
      </c>
      <c r="B140" s="4">
        <v>28522</v>
      </c>
      <c r="C140" s="4" t="s">
        <v>37</v>
      </c>
      <c r="D140" s="4" t="s">
        <v>30</v>
      </c>
      <c r="E140" s="4">
        <v>103.59</v>
      </c>
      <c r="F140" s="4">
        <v>82.95</v>
      </c>
      <c r="G140" s="4">
        <v>962</v>
      </c>
      <c r="H140" s="4">
        <v>895</v>
      </c>
      <c r="I140" s="4">
        <v>928.5</v>
      </c>
      <c r="J140" s="4" t="s">
        <v>24</v>
      </c>
      <c r="K140" s="4">
        <v>2005</v>
      </c>
      <c r="L140" s="4" t="s">
        <v>38</v>
      </c>
      <c r="M140" s="5">
        <v>1434</v>
      </c>
      <c r="N140" s="4" t="s">
        <v>39</v>
      </c>
      <c r="P140" s="4">
        <v>4.2</v>
      </c>
      <c r="R140" s="4">
        <v>2.4</v>
      </c>
      <c r="S140" s="4">
        <v>4.2</v>
      </c>
      <c r="T140">
        <v>41.8842</v>
      </c>
      <c r="U140">
        <v>26141.800684720001</v>
      </c>
      <c r="V140"/>
      <c r="W140"/>
    </row>
    <row r="141" spans="1:23" s="4" customFormat="1" x14ac:dyDescent="0.35">
      <c r="A141" s="4" t="s">
        <v>257</v>
      </c>
      <c r="B141" s="4">
        <v>32053</v>
      </c>
      <c r="C141" s="4" t="s">
        <v>37</v>
      </c>
      <c r="D141" s="4" t="s">
        <v>30</v>
      </c>
      <c r="E141" s="4">
        <v>104.61</v>
      </c>
      <c r="F141" s="4">
        <v>82.98</v>
      </c>
      <c r="G141" s="4">
        <v>995</v>
      </c>
      <c r="H141" s="4">
        <v>957</v>
      </c>
      <c r="I141" s="4">
        <v>976</v>
      </c>
      <c r="J141" s="4" t="s">
        <v>24</v>
      </c>
      <c r="K141" s="4">
        <v>2007</v>
      </c>
      <c r="L141" s="4" t="s">
        <v>38</v>
      </c>
      <c r="M141" s="5">
        <v>1434</v>
      </c>
      <c r="N141" s="4" t="s">
        <v>39</v>
      </c>
      <c r="P141" s="4">
        <v>4.2</v>
      </c>
      <c r="R141" s="4">
        <v>2.4</v>
      </c>
      <c r="S141" s="4">
        <v>4.2</v>
      </c>
      <c r="T141">
        <v>212.31399999999999</v>
      </c>
      <c r="U141">
        <v>26141.747390209999</v>
      </c>
      <c r="V141"/>
      <c r="W141"/>
    </row>
    <row r="142" spans="1:23" s="4" customFormat="1" x14ac:dyDescent="0.35">
      <c r="A142" s="4" t="s">
        <v>258</v>
      </c>
      <c r="B142" s="4">
        <v>35637</v>
      </c>
      <c r="C142" s="4" t="s">
        <v>37</v>
      </c>
      <c r="D142" s="4" t="s">
        <v>30</v>
      </c>
      <c r="E142" s="4">
        <v>103.47</v>
      </c>
      <c r="F142" s="4">
        <v>82.96</v>
      </c>
      <c r="G142" s="4">
        <v>933</v>
      </c>
      <c r="H142" s="4">
        <v>912</v>
      </c>
      <c r="I142" s="4">
        <v>922.5</v>
      </c>
      <c r="J142" s="4" t="s">
        <v>24</v>
      </c>
      <c r="K142" s="4">
        <v>2009</v>
      </c>
      <c r="L142" s="4" t="s">
        <v>106</v>
      </c>
      <c r="M142" s="5">
        <v>1434</v>
      </c>
      <c r="N142" s="4" t="s">
        <v>39</v>
      </c>
      <c r="P142" s="4">
        <v>4.2</v>
      </c>
      <c r="R142" s="4">
        <v>2.4</v>
      </c>
      <c r="S142" s="4">
        <v>4.2</v>
      </c>
      <c r="T142">
        <v>33.6402</v>
      </c>
      <c r="U142">
        <v>26141.769960540001</v>
      </c>
      <c r="V142"/>
      <c r="W142"/>
    </row>
    <row r="143" spans="1:23" s="4" customFormat="1" x14ac:dyDescent="0.35">
      <c r="A143" s="4" t="s">
        <v>259</v>
      </c>
      <c r="B143" s="4">
        <v>36520</v>
      </c>
      <c r="C143" s="4" t="s">
        <v>37</v>
      </c>
      <c r="D143" s="4" t="s">
        <v>30</v>
      </c>
      <c r="E143" s="4">
        <v>104.87</v>
      </c>
      <c r="F143" s="4">
        <v>82.96</v>
      </c>
      <c r="G143" s="4">
        <v>1007</v>
      </c>
      <c r="H143" s="4">
        <v>970</v>
      </c>
      <c r="I143" s="4">
        <v>988.5</v>
      </c>
      <c r="J143" s="4" t="s">
        <v>24</v>
      </c>
      <c r="K143" s="4">
        <v>2010</v>
      </c>
      <c r="L143" s="4" t="s">
        <v>38</v>
      </c>
      <c r="M143" s="5">
        <v>1434</v>
      </c>
      <c r="N143" s="4" t="s">
        <v>39</v>
      </c>
      <c r="P143" s="4">
        <v>4.2</v>
      </c>
      <c r="R143" s="4">
        <v>2.4</v>
      </c>
      <c r="S143" s="4">
        <v>4.2</v>
      </c>
      <c r="T143">
        <v>259.09690000000001</v>
      </c>
      <c r="U143">
        <v>26141.835971740002</v>
      </c>
      <c r="V143"/>
      <c r="W14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44FE61D6AB7748894AB892DFADF133" ma:contentTypeVersion="10" ma:contentTypeDescription="Create a new document." ma:contentTypeScope="" ma:versionID="de0222458f954da4f560216e214db328">
  <xsd:schema xmlns:xsd="http://www.w3.org/2001/XMLSchema" xmlns:xs="http://www.w3.org/2001/XMLSchema" xmlns:p="http://schemas.microsoft.com/office/2006/metadata/properties" xmlns:ns2="84eac71c-e0a2-4e77-9e10-10a3b720e6f8" xmlns:ns3="2c25ba7f-2033-4540-9f3b-ab371ce1c853" targetNamespace="http://schemas.microsoft.com/office/2006/metadata/properties" ma:root="true" ma:fieldsID="4ccc0ef6655e64c823cf56bfd51a519b" ns2:_="" ns3:_="">
    <xsd:import namespace="84eac71c-e0a2-4e77-9e10-10a3b720e6f8"/>
    <xsd:import namespace="2c25ba7f-2033-4540-9f3b-ab371ce1c8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ac71c-e0a2-4e77-9e10-10a3b720e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0362c1-0754-4bfa-a63f-ad6e73d7c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5ba7f-2033-4540-9f3b-ab371ce1c8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82cf86-2672-4f80-a380-b7ae2087b5d6}" ma:internalName="TaxCatchAll" ma:showField="CatchAllData" ma:web="2c25ba7f-2033-4540-9f3b-ab371ce1c8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eac71c-e0a2-4e77-9e10-10a3b720e6f8">
      <Terms xmlns="http://schemas.microsoft.com/office/infopath/2007/PartnerControls"/>
    </lcf76f155ced4ddcb4097134ff3c332f>
    <TaxCatchAll xmlns="2c25ba7f-2033-4540-9f3b-ab371ce1c85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5735F8-F8E9-4314-B084-6DE3A6B8A7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eac71c-e0a2-4e77-9e10-10a3b720e6f8"/>
    <ds:schemaRef ds:uri="2c25ba7f-2033-4540-9f3b-ab371ce1c8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AD04C1-C1BA-4798-8C17-8C6C869AF1D8}">
  <ds:schemaRefs>
    <ds:schemaRef ds:uri="http://schemas.microsoft.com/office/2006/metadata/properties"/>
    <ds:schemaRef ds:uri="84eac71c-e0a2-4e77-9e10-10a3b720e6f8"/>
    <ds:schemaRef ds:uri="http://purl.org/dc/terms/"/>
    <ds:schemaRef ds:uri="http://schemas.openxmlformats.org/package/2006/metadata/core-properties"/>
    <ds:schemaRef ds:uri="2c25ba7f-2033-4540-9f3b-ab371ce1c853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8EC17FD-3784-423F-A1DE-7D27C34C6E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PL SSO</vt:lpstr>
      <vt:lpstr>RB SSO</vt:lpstr>
      <vt:lpstr>1 - SL8 700-900</vt:lpstr>
      <vt:lpstr>2 - SL16 700-900</vt:lpstr>
      <vt:lpstr>SL8 800-1000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Meynaud, Chloé</dc:creator>
  <cp:lastModifiedBy>[Student] Chloé Meynaud</cp:lastModifiedBy>
  <dcterms:created xsi:type="dcterms:W3CDTF">2026-05-29T10:09:34Z</dcterms:created>
  <dcterms:modified xsi:type="dcterms:W3CDTF">2026-09-17T20:03:40Z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0x0101003744FE61D6AB7748894AB892DFADF133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